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ogawarinkyuu/Desktop/"/>
    </mc:Choice>
  </mc:AlternateContent>
  <xr:revisionPtr revIDLastSave="0" documentId="13_ncr:1_{6097CBD9-6B19-C04B-8CB4-3581409EA4B3}" xr6:coauthVersionLast="47" xr6:coauthVersionMax="47" xr10:uidLastSave="{00000000-0000-0000-0000-000000000000}"/>
  <bookViews>
    <workbookView xWindow="4440" yWindow="760" windowWidth="24960" windowHeight="162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9" i="1" s="1"/>
  <c r="C9" i="1"/>
  <c r="I5" i="1" s="1"/>
  <c r="C10" i="1"/>
  <c r="C11" i="1"/>
  <c r="C12" i="1"/>
  <c r="C13" i="1"/>
  <c r="B14" i="1"/>
  <c r="B15" i="1"/>
  <c r="I7" i="1" s="1"/>
  <c r="E18" i="1"/>
  <c r="F18" i="1" s="1"/>
  <c r="E19" i="1"/>
  <c r="F19" i="1"/>
  <c r="E20" i="1"/>
  <c r="F20" i="1"/>
  <c r="E21" i="1"/>
  <c r="F21" i="1" s="1"/>
  <c r="E22" i="1"/>
  <c r="F22" i="1" s="1"/>
  <c r="E23" i="1"/>
  <c r="F23" i="1"/>
  <c r="E24" i="1"/>
  <c r="F24" i="1"/>
  <c r="E25" i="1"/>
  <c r="F25" i="1"/>
  <c r="E26" i="1"/>
  <c r="F26" i="1" s="1"/>
  <c r="E27" i="1"/>
  <c r="F27" i="1"/>
  <c r="B6" i="1"/>
  <c r="H7" i="1"/>
  <c r="I9" i="1" l="1"/>
  <c r="G5" i="1"/>
  <c r="C29" i="1"/>
  <c r="E29" i="1" s="1"/>
  <c r="K22" i="1" l="1"/>
  <c r="K24" i="1"/>
  <c r="K25" i="1"/>
  <c r="G18" i="1"/>
  <c r="G19" i="1" s="1"/>
  <c r="G21" i="1" s="1"/>
  <c r="K18" i="1"/>
  <c r="K23" i="1"/>
  <c r="K26" i="1"/>
  <c r="K19" i="1"/>
  <c r="K27" i="1"/>
  <c r="G12" i="1"/>
  <c r="G13" i="1" s="1"/>
  <c r="G15" i="1" s="1"/>
  <c r="K20" i="1"/>
  <c r="K21" i="1"/>
  <c r="G7" i="1"/>
  <c r="G9" i="1"/>
  <c r="J9" i="1" s="1"/>
  <c r="K28" i="1" l="1"/>
  <c r="K29" i="1" s="1"/>
  <c r="I15" i="1"/>
  <c r="I21" i="1"/>
</calcChain>
</file>

<file path=xl/sharedStrings.xml><?xml version="1.0" encoding="utf-8"?>
<sst xmlns="http://schemas.openxmlformats.org/spreadsheetml/2006/main" count="47" uniqueCount="37">
  <si>
    <t>測定</t>
    <rPh sb="0" eb="2">
      <t>ソクテ</t>
    </rPh>
    <phoneticPr fontId="1"/>
  </si>
  <si>
    <t>l(cm)</t>
    <phoneticPr fontId="1"/>
  </si>
  <si>
    <t>振動前</t>
    <rPh sb="0" eb="3">
      <t>シンd</t>
    </rPh>
    <phoneticPr fontId="1"/>
  </si>
  <si>
    <t>振動後</t>
    <rPh sb="0" eb="3">
      <t>シンド</t>
    </rPh>
    <phoneticPr fontId="1"/>
  </si>
  <si>
    <t>平均</t>
    <rPh sb="0" eb="2">
      <t>ヘイキn</t>
    </rPh>
    <phoneticPr fontId="1"/>
  </si>
  <si>
    <t>振動回数</t>
    <rPh sb="0" eb="4">
      <t>シンド</t>
    </rPh>
    <phoneticPr fontId="1"/>
  </si>
  <si>
    <t>時刻(s)</t>
    <rPh sb="0" eb="2">
      <t>ジコk</t>
    </rPh>
    <phoneticPr fontId="1"/>
  </si>
  <si>
    <t>100回の振動時間(s)</t>
    <rPh sb="3" eb="4">
      <t>カ</t>
    </rPh>
    <phoneticPr fontId="1"/>
  </si>
  <si>
    <t>g=4*π^2/T^2*(l+r)=</t>
    <phoneticPr fontId="1"/>
  </si>
  <si>
    <t>100回の振動時間の平均</t>
    <rPh sb="5" eb="9">
      <t>カ</t>
    </rPh>
    <phoneticPr fontId="1"/>
  </si>
  <si>
    <t>周期T</t>
    <rPh sb="0" eb="2">
      <t>シュ</t>
    </rPh>
    <phoneticPr fontId="1"/>
  </si>
  <si>
    <t>(cm/s^2)</t>
    <phoneticPr fontId="1"/>
  </si>
  <si>
    <t>(m/s^2)</t>
    <phoneticPr fontId="1"/>
  </si>
  <si>
    <t>球の半径</t>
    <rPh sb="0" eb="1">
      <t>キュ</t>
    </rPh>
    <phoneticPr fontId="1"/>
  </si>
  <si>
    <t>球の直径2r(cm)</t>
    <rPh sb="0" eb="1">
      <t>キュ</t>
    </rPh>
    <phoneticPr fontId="1"/>
  </si>
  <si>
    <t>g=4*π^2/T^2*((l+r)+2/5*r^2/(l+r))=</t>
    <phoneticPr fontId="1"/>
  </si>
  <si>
    <t>ΔT</t>
    <phoneticPr fontId="1"/>
  </si>
  <si>
    <t>average(T)</t>
    <phoneticPr fontId="1"/>
  </si>
  <si>
    <t>Δl</t>
    <phoneticPr fontId="1"/>
  </si>
  <si>
    <t>average(l)</t>
    <phoneticPr fontId="1"/>
  </si>
  <si>
    <t>Δr</t>
    <phoneticPr fontId="1"/>
  </si>
  <si>
    <t>average(r)</t>
    <phoneticPr fontId="1"/>
  </si>
  <si>
    <t>|ΔT/average(T)|</t>
    <phoneticPr fontId="1"/>
  </si>
  <si>
    <t>|Δl/average(l)|</t>
    <phoneticPr fontId="1"/>
  </si>
  <si>
    <t>|Δr/average(r)|</t>
    <phoneticPr fontId="1"/>
  </si>
  <si>
    <t>T(s)</t>
    <phoneticPr fontId="1"/>
  </si>
  <si>
    <t>r(cm)</t>
    <phoneticPr fontId="1"/>
  </si>
  <si>
    <t>|Δg/average(g)|</t>
    <phoneticPr fontId="1"/>
  </si>
  <si>
    <t>±</t>
    <phoneticPr fontId="1"/>
  </si>
  <si>
    <t>重力加速度エミュレータ</t>
    <rPh sb="0" eb="2">
      <t>ジュウリョク</t>
    </rPh>
    <rPh sb="2" eb="5">
      <t>カソクド</t>
    </rPh>
    <phoneticPr fontId="1"/>
  </si>
  <si>
    <t>■</t>
    <phoneticPr fontId="1"/>
  </si>
  <si>
    <t>：入力する値</t>
    <rPh sb="1" eb="3">
      <t>ニュウリョク</t>
    </rPh>
    <rPh sb="5" eb="6">
      <t>アタイ</t>
    </rPh>
    <phoneticPr fontId="1"/>
  </si>
  <si>
    <t>：TAが欲している値</t>
    <rPh sb="4" eb="5">
      <t>ホッ</t>
    </rPh>
    <rPh sb="9" eb="10">
      <t>アタイ</t>
    </rPh>
    <phoneticPr fontId="1"/>
  </si>
  <si>
    <t>g=</t>
    <phoneticPr fontId="1"/>
  </si>
  <si>
    <t>g=</t>
    <phoneticPr fontId="1"/>
  </si>
  <si>
    <t>計算方法1.13</t>
  </si>
  <si>
    <t>計算方法1.12</t>
    <rPh sb="0" eb="2">
      <t>ケイサン</t>
    </rPh>
    <rPh sb="2" eb="4">
      <t>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</si>
</sst>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2"/>
      <color theme="7" tint="0.59999389629810485"/>
      <name val="Yu Gothic"/>
      <family val="3"/>
      <charset val="128"/>
      <scheme val="minor"/>
    </font>
    <font>
      <sz val="12"/>
      <color theme="8" tint="0.59999389629810485"/>
      <name val="Yu Gothic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6337778862885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3" borderId="13" xfId="0" applyFill="1" applyBorder="1"/>
    <xf numFmtId="0" fontId="0" fillId="0" borderId="12" xfId="0" applyBorder="1"/>
    <xf numFmtId="0" fontId="2" fillId="0" borderId="0" xfId="0" applyFont="1"/>
    <xf numFmtId="0" fontId="3" fillId="0" borderId="0" xfId="0" applyFont="1"/>
    <xf numFmtId="0" fontId="0" fillId="0" borderId="14" xfId="0" applyBorder="1"/>
    <xf numFmtId="0" fontId="0" fillId="0" borderId="15" xfId="0" applyBorder="1"/>
    <xf numFmtId="0" fontId="0" fillId="4" borderId="16" xfId="0" applyFill="1" applyBorder="1"/>
    <xf numFmtId="0" fontId="0" fillId="0" borderId="17" xfId="0" applyBorder="1"/>
    <xf numFmtId="0" fontId="0" fillId="0" borderId="16" xfId="0" applyBorder="1"/>
    <xf numFmtId="0" fontId="0" fillId="4" borderId="18" xfId="0" applyFill="1" applyBorder="1"/>
    <xf numFmtId="0" fontId="0" fillId="0" borderId="19" xfId="0" applyBorder="1"/>
    <xf numFmtId="0" fontId="0" fillId="4" borderId="19" xfId="0" applyFill="1" applyBorder="1"/>
    <xf numFmtId="0" fontId="0" fillId="0" borderId="20" xfId="0" applyBorder="1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showRuler="0" workbookViewId="0">
      <selection activeCell="D6" sqref="D6"/>
    </sheetView>
  </sheetViews>
  <sheetFormatPr baseColWidth="10" defaultColWidth="13.28515625" defaultRowHeight="18" x14ac:dyDescent="0.25"/>
  <cols>
    <col min="1" max="1" width="8.140625" bestFit="1" customWidth="1"/>
    <col min="2" max="2" width="13.28515625" bestFit="1" customWidth="1"/>
    <col min="3" max="3" width="8.140625" bestFit="1" customWidth="1"/>
    <col min="4" max="4" width="13.28515625" customWidth="1"/>
    <col min="5" max="5" width="16.42578125" bestFit="1" customWidth="1"/>
    <col min="9" max="9" width="14.7109375" customWidth="1"/>
    <col min="10" max="10" width="16.140625" bestFit="1" customWidth="1"/>
    <col min="11" max="13" width="16.140625" customWidth="1"/>
  </cols>
  <sheetData>
    <row r="1" spans="1:10" x14ac:dyDescent="0.25">
      <c r="A1" t="s">
        <v>29</v>
      </c>
      <c r="D1" s="17" t="s">
        <v>30</v>
      </c>
      <c r="E1" t="s">
        <v>31</v>
      </c>
    </row>
    <row r="2" spans="1:10" ht="19" thickBot="1" x14ac:dyDescent="0.3">
      <c r="D2" s="18" t="s">
        <v>30</v>
      </c>
      <c r="E2" t="s">
        <v>32</v>
      </c>
    </row>
    <row r="3" spans="1:10" ht="20" thickTop="1" thickBot="1" x14ac:dyDescent="0.3">
      <c r="A3" s="1" t="s">
        <v>0</v>
      </c>
      <c r="B3" s="2" t="s">
        <v>1</v>
      </c>
    </row>
    <row r="4" spans="1:10" ht="19" thickTop="1" x14ac:dyDescent="0.25">
      <c r="A4" s="3" t="s">
        <v>2</v>
      </c>
      <c r="B4" s="10">
        <v>92.26</v>
      </c>
      <c r="G4" s="13" t="s">
        <v>16</v>
      </c>
      <c r="H4" s="13" t="s">
        <v>18</v>
      </c>
      <c r="I4" s="13" t="s">
        <v>20</v>
      </c>
    </row>
    <row r="5" spans="1:10" ht="19" thickBot="1" x14ac:dyDescent="0.3">
      <c r="A5" s="3" t="s">
        <v>3</v>
      </c>
      <c r="B5" s="10">
        <v>92.34</v>
      </c>
      <c r="G5" s="14">
        <f>0.6745*STDEV(F18:F27)/SQRT(COUNT(F18:F27))</f>
        <v>2.4090763145171796E-4</v>
      </c>
      <c r="H5" s="14">
        <f>0.6745*STDEV(B4:B5)/SQRT(COUNT(B4:B5))</f>
        <v>2.6979999999999425E-2</v>
      </c>
      <c r="I5" s="14">
        <f>0.6745*STDEV(C9:C13)/SQRT(COUNT(C9:C13))</f>
        <v>1.563763918802959E-3</v>
      </c>
    </row>
    <row r="6" spans="1:10" ht="20" thickTop="1" thickBot="1" x14ac:dyDescent="0.3">
      <c r="A6" s="5" t="s">
        <v>4</v>
      </c>
      <c r="B6" s="6">
        <f>AVERAGE(B4:B5)</f>
        <v>92.300000000000011</v>
      </c>
      <c r="G6" s="13" t="s">
        <v>17</v>
      </c>
      <c r="H6" s="13" t="s">
        <v>19</v>
      </c>
      <c r="I6" s="13" t="s">
        <v>21</v>
      </c>
    </row>
    <row r="7" spans="1:10" ht="20" thickTop="1" thickBot="1" x14ac:dyDescent="0.3">
      <c r="G7" s="14">
        <f>E29</f>
        <v>1.94913</v>
      </c>
      <c r="H7" s="14">
        <f>B6</f>
        <v>92.300000000000011</v>
      </c>
      <c r="I7" s="14">
        <f>B15</f>
        <v>1.9265000000000001</v>
      </c>
    </row>
    <row r="8" spans="1:10" ht="19" thickTop="1" x14ac:dyDescent="0.25">
      <c r="A8" s="1" t="s">
        <v>0</v>
      </c>
      <c r="B8" s="2" t="s">
        <v>14</v>
      </c>
      <c r="C8" t="s">
        <v>26</v>
      </c>
      <c r="G8" s="13" t="s">
        <v>22</v>
      </c>
      <c r="H8" s="13" t="s">
        <v>23</v>
      </c>
      <c r="I8" s="13" t="s">
        <v>24</v>
      </c>
      <c r="J8" s="13" t="s">
        <v>27</v>
      </c>
    </row>
    <row r="9" spans="1:10" ht="19" thickBot="1" x14ac:dyDescent="0.3">
      <c r="A9" s="3">
        <v>1</v>
      </c>
      <c r="B9" s="10">
        <v>3.86</v>
      </c>
      <c r="C9">
        <f>B9/2</f>
        <v>1.93</v>
      </c>
      <c r="G9" s="14">
        <f>ABS(G5/G7)</f>
        <v>1.2359751861174882E-4</v>
      </c>
      <c r="H9" s="14">
        <f>ABS(H5/H7)</f>
        <v>2.9230769230768601E-4</v>
      </c>
      <c r="I9" s="14">
        <f>ABS(I5/I7)</f>
        <v>8.1171238972383016E-4</v>
      </c>
      <c r="J9" s="15">
        <f>G9*2+H9+I9</f>
        <v>1.3512151192550136E-3</v>
      </c>
    </row>
    <row r="10" spans="1:10" ht="20" thickTop="1" thickBot="1" x14ac:dyDescent="0.3">
      <c r="A10" s="3">
        <v>2</v>
      </c>
      <c r="B10" s="10">
        <v>3.835</v>
      </c>
      <c r="C10">
        <f t="shared" ref="C10:C13" si="0">B10/2</f>
        <v>1.9175</v>
      </c>
      <c r="J10" s="16"/>
    </row>
    <row r="11" spans="1:10" ht="19" thickTop="1" x14ac:dyDescent="0.25">
      <c r="A11" s="3">
        <v>3</v>
      </c>
      <c r="B11" s="10">
        <v>3.855</v>
      </c>
      <c r="C11">
        <f t="shared" si="0"/>
        <v>1.9275</v>
      </c>
      <c r="G11" s="19" t="s">
        <v>8</v>
      </c>
      <c r="H11" s="16"/>
      <c r="I11" s="16"/>
      <c r="J11" s="20" t="s">
        <v>35</v>
      </c>
    </row>
    <row r="12" spans="1:10" x14ac:dyDescent="0.25">
      <c r="A12" s="3">
        <v>4</v>
      </c>
      <c r="B12" s="10">
        <v>3.86</v>
      </c>
      <c r="C12">
        <f t="shared" si="0"/>
        <v>1.93</v>
      </c>
      <c r="G12" s="21">
        <f>4*PI()^2/E29^2*(B6+B15)</f>
        <v>979.15441056938187</v>
      </c>
      <c r="H12" t="s">
        <v>11</v>
      </c>
      <c r="J12" s="22"/>
    </row>
    <row r="13" spans="1:10" x14ac:dyDescent="0.25">
      <c r="A13" s="3">
        <v>5</v>
      </c>
      <c r="B13" s="10">
        <v>3.855</v>
      </c>
      <c r="C13">
        <f t="shared" si="0"/>
        <v>1.9275</v>
      </c>
      <c r="G13" s="21">
        <f>G12/100</f>
        <v>9.7915441056938182</v>
      </c>
      <c r="H13" t="s">
        <v>12</v>
      </c>
      <c r="J13" s="22"/>
    </row>
    <row r="14" spans="1:10" ht="19" thickBot="1" x14ac:dyDescent="0.3">
      <c r="A14" s="5" t="s">
        <v>4</v>
      </c>
      <c r="B14" s="6">
        <f>AVERAGE(B9:B13)</f>
        <v>3.8530000000000002</v>
      </c>
      <c r="G14" s="23" t="s">
        <v>33</v>
      </c>
      <c r="J14" s="22"/>
    </row>
    <row r="15" spans="1:10" ht="20" thickTop="1" thickBot="1" x14ac:dyDescent="0.3">
      <c r="A15" t="s">
        <v>13</v>
      </c>
      <c r="B15">
        <f>B14/2</f>
        <v>1.9265000000000001</v>
      </c>
      <c r="G15" s="24">
        <f>G13</f>
        <v>9.7915441056938182</v>
      </c>
      <c r="H15" s="25" t="s">
        <v>28</v>
      </c>
      <c r="I15" s="26">
        <f>J9*G13</f>
        <v>1.3230482436465799E-2</v>
      </c>
      <c r="J15" s="27" t="s">
        <v>12</v>
      </c>
    </row>
    <row r="16" spans="1:10" ht="20" thickTop="1" thickBot="1" x14ac:dyDescent="0.3"/>
    <row r="17" spans="1:11" ht="19" thickTop="1" x14ac:dyDescent="0.25">
      <c r="A17" s="1" t="s">
        <v>5</v>
      </c>
      <c r="B17" s="7" t="s">
        <v>6</v>
      </c>
      <c r="C17" s="7" t="s">
        <v>5</v>
      </c>
      <c r="D17" s="7" t="s">
        <v>6</v>
      </c>
      <c r="E17" s="2" t="s">
        <v>7</v>
      </c>
      <c r="F17" t="s">
        <v>25</v>
      </c>
      <c r="G17" s="19" t="s">
        <v>15</v>
      </c>
      <c r="H17" s="16"/>
      <c r="I17" s="16"/>
      <c r="J17" s="20" t="s">
        <v>36</v>
      </c>
    </row>
    <row r="18" spans="1:11" x14ac:dyDescent="0.25">
      <c r="A18" s="3">
        <v>0</v>
      </c>
      <c r="B18" s="11">
        <v>19.510000000000002</v>
      </c>
      <c r="C18" s="8">
        <v>100</v>
      </c>
      <c r="D18" s="11">
        <v>214.64</v>
      </c>
      <c r="E18" s="4">
        <f>D18-B18</f>
        <v>195.13</v>
      </c>
      <c r="F18">
        <f>E18/100</f>
        <v>1.9513</v>
      </c>
      <c r="G18" s="21">
        <f>4*PI()^2/E29^2*((B6+B15)+2/5*B15^2/(B6+B15))</f>
        <v>979.31813107720211</v>
      </c>
      <c r="H18" t="s">
        <v>11</v>
      </c>
      <c r="J18" s="22"/>
      <c r="K18">
        <f>($E$29-F18)^2</f>
        <v>4.7089000000000228E-6</v>
      </c>
    </row>
    <row r="19" spans="1:11" x14ac:dyDescent="0.25">
      <c r="A19" s="3">
        <v>10</v>
      </c>
      <c r="B19" s="11">
        <v>39.119999999999997</v>
      </c>
      <c r="C19" s="8">
        <v>110</v>
      </c>
      <c r="D19" s="11">
        <v>234.12</v>
      </c>
      <c r="E19" s="4">
        <f t="shared" ref="E19:E27" si="1">D19-B19</f>
        <v>195</v>
      </c>
      <c r="F19">
        <f t="shared" ref="F19:F27" si="2">E19/100</f>
        <v>1.95</v>
      </c>
      <c r="G19" s="21">
        <f>G18/100</f>
        <v>9.7931813107720203</v>
      </c>
      <c r="H19" t="s">
        <v>12</v>
      </c>
      <c r="J19" s="22"/>
      <c r="K19">
        <f t="shared" ref="K19:K27" si="3">($E$29-F19)^2</f>
        <v>7.5689999999987189E-7</v>
      </c>
    </row>
    <row r="20" spans="1:11" x14ac:dyDescent="0.25">
      <c r="A20" s="3">
        <v>20</v>
      </c>
      <c r="B20" s="11">
        <v>58.65</v>
      </c>
      <c r="C20" s="8">
        <v>120</v>
      </c>
      <c r="D20" s="11">
        <v>253.56</v>
      </c>
      <c r="E20" s="4">
        <f t="shared" si="1"/>
        <v>194.91</v>
      </c>
      <c r="F20">
        <f t="shared" si="2"/>
        <v>1.9491000000000001</v>
      </c>
      <c r="G20" s="23" t="s">
        <v>34</v>
      </c>
      <c r="J20" s="22"/>
      <c r="K20">
        <f t="shared" si="3"/>
        <v>8.999999999984695E-10</v>
      </c>
    </row>
    <row r="21" spans="1:11" ht="19" thickBot="1" x14ac:dyDescent="0.3">
      <c r="A21" s="3">
        <v>30</v>
      </c>
      <c r="B21" s="11">
        <v>78.180000000000007</v>
      </c>
      <c r="C21" s="8">
        <v>130</v>
      </c>
      <c r="D21" s="11">
        <v>273.04000000000002</v>
      </c>
      <c r="E21" s="4">
        <f t="shared" si="1"/>
        <v>194.86</v>
      </c>
      <c r="F21">
        <f t="shared" si="2"/>
        <v>1.9486000000000001</v>
      </c>
      <c r="G21" s="24">
        <f>G19</f>
        <v>9.7931813107720203</v>
      </c>
      <c r="H21" s="25" t="s">
        <v>28</v>
      </c>
      <c r="I21" s="26">
        <f>J9*G19</f>
        <v>1.3232694652720787E-2</v>
      </c>
      <c r="J21" s="27" t="s">
        <v>12</v>
      </c>
      <c r="K21">
        <f t="shared" si="3"/>
        <v>2.8089999999991459E-7</v>
      </c>
    </row>
    <row r="22" spans="1:11" ht="19" thickTop="1" x14ac:dyDescent="0.25">
      <c r="A22" s="3">
        <v>40</v>
      </c>
      <c r="B22" s="11">
        <v>97.56</v>
      </c>
      <c r="C22" s="8">
        <v>140</v>
      </c>
      <c r="D22" s="11">
        <v>292.39999999999998</v>
      </c>
      <c r="E22" s="4">
        <f t="shared" si="1"/>
        <v>194.83999999999997</v>
      </c>
      <c r="F22">
        <f t="shared" si="2"/>
        <v>1.9483999999999997</v>
      </c>
      <c r="K22">
        <f t="shared" si="3"/>
        <v>5.329000000004986E-7</v>
      </c>
    </row>
    <row r="23" spans="1:11" x14ac:dyDescent="0.25">
      <c r="A23" s="3">
        <v>50</v>
      </c>
      <c r="B23" s="11">
        <v>117.08</v>
      </c>
      <c r="C23" s="8">
        <v>150</v>
      </c>
      <c r="D23" s="11">
        <v>312.10000000000002</v>
      </c>
      <c r="E23" s="4">
        <f t="shared" si="1"/>
        <v>195.02000000000004</v>
      </c>
      <c r="F23">
        <f t="shared" si="2"/>
        <v>1.9502000000000004</v>
      </c>
      <c r="K23">
        <f t="shared" si="3"/>
        <v>1.1449000000007456E-6</v>
      </c>
    </row>
    <row r="24" spans="1:11" x14ac:dyDescent="0.25">
      <c r="A24" s="3">
        <v>60</v>
      </c>
      <c r="B24" s="11">
        <v>136.62</v>
      </c>
      <c r="C24" s="8">
        <v>160</v>
      </c>
      <c r="D24" s="11">
        <v>331.43</v>
      </c>
      <c r="E24" s="4">
        <f t="shared" si="1"/>
        <v>194.81</v>
      </c>
      <c r="F24">
        <f t="shared" si="2"/>
        <v>1.9480999999999999</v>
      </c>
      <c r="K24">
        <f t="shared" si="3"/>
        <v>1.060900000000178E-6</v>
      </c>
    </row>
    <row r="25" spans="1:11" x14ac:dyDescent="0.25">
      <c r="A25" s="3">
        <v>70</v>
      </c>
      <c r="B25" s="11">
        <v>156.13999999999999</v>
      </c>
      <c r="C25" s="8">
        <v>170</v>
      </c>
      <c r="D25" s="11">
        <v>351.05</v>
      </c>
      <c r="E25" s="4">
        <f t="shared" si="1"/>
        <v>194.91000000000003</v>
      </c>
      <c r="F25">
        <f t="shared" si="2"/>
        <v>1.9491000000000003</v>
      </c>
      <c r="K25">
        <f t="shared" si="3"/>
        <v>8.9999999998514683E-10</v>
      </c>
    </row>
    <row r="26" spans="1:11" x14ac:dyDescent="0.25">
      <c r="A26" s="3">
        <v>80</v>
      </c>
      <c r="B26" s="11">
        <v>175.56</v>
      </c>
      <c r="C26" s="8">
        <v>180</v>
      </c>
      <c r="D26" s="11">
        <v>370.47</v>
      </c>
      <c r="E26" s="4">
        <f t="shared" si="1"/>
        <v>194.91000000000003</v>
      </c>
      <c r="F26">
        <f t="shared" si="2"/>
        <v>1.9491000000000003</v>
      </c>
      <c r="K26">
        <f t="shared" si="3"/>
        <v>8.9999999998514683E-10</v>
      </c>
    </row>
    <row r="27" spans="1:11" ht="19" thickBot="1" x14ac:dyDescent="0.3">
      <c r="A27" s="5">
        <v>90</v>
      </c>
      <c r="B27" s="12">
        <v>195.04</v>
      </c>
      <c r="C27" s="9">
        <v>190</v>
      </c>
      <c r="D27" s="12">
        <v>389.78</v>
      </c>
      <c r="E27" s="6">
        <f t="shared" si="1"/>
        <v>194.73999999999998</v>
      </c>
      <c r="F27">
        <f t="shared" si="2"/>
        <v>1.9473999999999998</v>
      </c>
      <c r="K27">
        <f t="shared" si="3"/>
        <v>2.9929000000008006E-6</v>
      </c>
    </row>
    <row r="28" spans="1:11" ht="19" thickTop="1" x14ac:dyDescent="0.25">
      <c r="C28" t="s">
        <v>9</v>
      </c>
      <c r="E28" t="s">
        <v>10</v>
      </c>
      <c r="K28">
        <f>SUM(K18:K27)</f>
        <v>1.1481000000002001E-5</v>
      </c>
    </row>
    <row r="29" spans="1:11" x14ac:dyDescent="0.25">
      <c r="C29">
        <f>AVERAGE(E18:E27)</f>
        <v>194.91300000000001</v>
      </c>
      <c r="E29">
        <f>C29/100</f>
        <v>1.94913</v>
      </c>
      <c r="K29">
        <f>SQRT(K28/10/9)</f>
        <v>3.5716476123308821E-4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cp:lastPrinted>2017-11-21T04:38:08Z</cp:lastPrinted>
  <dcterms:created xsi:type="dcterms:W3CDTF">2017-11-20T14:13:41Z</dcterms:created>
  <dcterms:modified xsi:type="dcterms:W3CDTF">2025-09-15T09:15:51Z</dcterms:modified>
</cp:coreProperties>
</file>