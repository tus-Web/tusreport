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ogawarinkyuu/Documents/大学＿過去問/情報工学科1年/後期/2017年度工学基礎実験/エミュレータ/"/>
    </mc:Choice>
  </mc:AlternateContent>
  <xr:revisionPtr revIDLastSave="0" documentId="13_ncr:1_{4011096D-B1DD-A048-B598-627DBCF620A6}" xr6:coauthVersionLast="47" xr6:coauthVersionMax="47" xr10:uidLastSave="{00000000-0000-0000-0000-000000000000}"/>
  <bookViews>
    <workbookView xWindow="4440" yWindow="760" windowWidth="21380" windowHeight="15320" tabRatio="500" xr2:uid="{00000000-000D-0000-FFFF-FFFF00000000}"/>
  </bookViews>
  <sheets>
    <sheet name="Sheet1" sheetId="1" r:id="rId1"/>
  </sheets>
  <calcPr calcId="191029"/>
  <fileRecoveryPr autoRecover="0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4" i="1" l="1"/>
  <c r="G19" i="1" s="1"/>
  <c r="H19" i="1" s="1"/>
  <c r="B24" i="1"/>
  <c r="L18" i="1" s="1"/>
  <c r="E9" i="1"/>
  <c r="K9" i="1"/>
  <c r="E10" i="1"/>
  <c r="G13" i="1" s="1"/>
  <c r="E11" i="1"/>
  <c r="E12" i="1"/>
  <c r="E13" i="1"/>
  <c r="C14" i="1"/>
  <c r="E14" i="1" s="1"/>
  <c r="N9" i="1"/>
  <c r="C46" i="1"/>
  <c r="G42" i="1" s="1"/>
  <c r="H42" i="1" s="1"/>
  <c r="G41" i="1"/>
  <c r="H41" i="1" s="1"/>
  <c r="G43" i="1"/>
  <c r="H43" i="1" s="1"/>
  <c r="G45" i="1"/>
  <c r="H45" i="1" s="1"/>
  <c r="M40" i="1"/>
  <c r="B46" i="1"/>
  <c r="E41" i="1" s="1"/>
  <c r="F41" i="1" s="1"/>
  <c r="E31" i="1"/>
  <c r="K31" i="1"/>
  <c r="E32" i="1"/>
  <c r="E33" i="1"/>
  <c r="E34" i="1"/>
  <c r="E35" i="1"/>
  <c r="C36" i="1"/>
  <c r="E36" i="1" s="1"/>
  <c r="N31" i="1"/>
  <c r="G12" i="1"/>
  <c r="E44" i="1" l="1"/>
  <c r="F44" i="1" s="1"/>
  <c r="G34" i="1"/>
  <c r="L40" i="1"/>
  <c r="G35" i="1"/>
  <c r="E42" i="1"/>
  <c r="F42" i="1" s="1"/>
  <c r="F46" i="1" s="1"/>
  <c r="L36" i="1" s="1"/>
  <c r="L38" i="1" s="1"/>
  <c r="M31" i="1"/>
  <c r="G36" i="1"/>
  <c r="I9" i="1"/>
  <c r="M9" i="1"/>
  <c r="E15" i="1"/>
  <c r="G14" i="1"/>
  <c r="G15" i="1" s="1"/>
  <c r="G37" i="1"/>
  <c r="L9" i="1"/>
  <c r="I10" i="1"/>
  <c r="J14" i="1" s="1"/>
  <c r="L31" i="1"/>
  <c r="I31" i="1"/>
  <c r="E45" i="1"/>
  <c r="F45" i="1" s="1"/>
  <c r="E43" i="1"/>
  <c r="F43" i="1" s="1"/>
  <c r="G44" i="1"/>
  <c r="H44" i="1" s="1"/>
  <c r="M18" i="1"/>
  <c r="G22" i="1"/>
  <c r="H22" i="1" s="1"/>
  <c r="G20" i="1"/>
  <c r="H20" i="1" s="1"/>
  <c r="H24" i="1" s="1"/>
  <c r="M14" i="1" s="1"/>
  <c r="M16" i="1" s="1"/>
  <c r="M20" i="1" s="1"/>
  <c r="E23" i="1"/>
  <c r="F23" i="1" s="1"/>
  <c r="E21" i="1"/>
  <c r="F21" i="1" s="1"/>
  <c r="E19" i="1"/>
  <c r="F19" i="1" s="1"/>
  <c r="G23" i="1"/>
  <c r="H23" i="1" s="1"/>
  <c r="G21" i="1"/>
  <c r="H21" i="1" s="1"/>
  <c r="E22" i="1"/>
  <c r="F22" i="1" s="1"/>
  <c r="E20" i="1"/>
  <c r="F20" i="1" s="1"/>
  <c r="L42" i="1" l="1"/>
  <c r="H46" i="1"/>
  <c r="M36" i="1" s="1"/>
  <c r="M38" i="1" s="1"/>
  <c r="M42" i="1" s="1"/>
  <c r="I32" i="1"/>
  <c r="K40" i="1" s="1"/>
  <c r="J31" i="1"/>
  <c r="J32" i="1"/>
  <c r="I42" i="1" s="1"/>
  <c r="J42" i="1" s="1"/>
  <c r="J34" i="1"/>
  <c r="B49" i="1"/>
  <c r="B48" i="1" s="1"/>
  <c r="J36" i="1"/>
  <c r="F24" i="1"/>
  <c r="L14" i="1" s="1"/>
  <c r="L16" i="1" s="1"/>
  <c r="L20" i="1" s="1"/>
  <c r="K18" i="1"/>
  <c r="J10" i="1"/>
  <c r="J9" i="1"/>
  <c r="J13" i="1"/>
  <c r="J11" i="1"/>
  <c r="B27" i="1"/>
  <c r="B26" i="1" s="1"/>
  <c r="J12" i="1"/>
  <c r="I41" i="1" l="1"/>
  <c r="J41" i="1" s="1"/>
  <c r="J33" i="1"/>
  <c r="J35" i="1"/>
  <c r="J15" i="1"/>
  <c r="J37" i="1"/>
  <c r="K36" i="1" l="1"/>
  <c r="K38" i="1" s="1"/>
  <c r="K42" i="1" s="1"/>
  <c r="N42" i="1" s="1"/>
  <c r="N44" i="1" s="1"/>
  <c r="K14" i="1"/>
  <c r="K16" i="1" s="1"/>
  <c r="K20" i="1" s="1"/>
  <c r="N20" i="1" s="1"/>
  <c r="N22" i="1" s="1"/>
</calcChain>
</file>

<file path=xl/sharedStrings.xml><?xml version="1.0" encoding="utf-8"?>
<sst xmlns="http://schemas.openxmlformats.org/spreadsheetml/2006/main" count="127" uniqueCount="80">
  <si>
    <t>試料：</t>
    <rPh sb="0" eb="2">
      <t>シリョ</t>
    </rPh>
    <phoneticPr fontId="2"/>
  </si>
  <si>
    <t>錘を加えるとき(mm)</t>
    <rPh sb="0" eb="1">
      <t>オモr</t>
    </rPh>
    <phoneticPr fontId="2"/>
  </si>
  <si>
    <t>錘を減らすとき(mm)</t>
    <rPh sb="0" eb="1">
      <t>オモr</t>
    </rPh>
    <phoneticPr fontId="2"/>
  </si>
  <si>
    <t>平均(mm)</t>
    <rPh sb="0" eb="2">
      <t>ヘイk</t>
    </rPh>
    <phoneticPr fontId="2"/>
  </si>
  <si>
    <t>ΔZ=</t>
    <phoneticPr fontId="2"/>
  </si>
  <si>
    <t>平均</t>
    <rPh sb="0" eb="2">
      <t>ヘイキn</t>
    </rPh>
    <phoneticPr fontId="2"/>
  </si>
  <si>
    <t>回数</t>
    <rPh sb="0" eb="2">
      <t>カイス</t>
    </rPh>
    <phoneticPr fontId="2"/>
  </si>
  <si>
    <t>M(g)=</t>
    <phoneticPr fontId="2"/>
  </si>
  <si>
    <t>荷重(kg)</t>
    <rPh sb="0" eb="1">
      <t>ニダ</t>
    </rPh>
    <rPh sb="1" eb="2">
      <t>オモイ</t>
    </rPh>
    <phoneticPr fontId="2"/>
  </si>
  <si>
    <t>ΔZ(mm)(M=0.6kg)</t>
    <phoneticPr fontId="2"/>
  </si>
  <si>
    <t>ave(Z0)-ave(Z3)=</t>
    <phoneticPr fontId="2"/>
  </si>
  <si>
    <t>ave(Z1)-ave(Z4)=</t>
    <phoneticPr fontId="2"/>
  </si>
  <si>
    <t>ave(Z2)-ave(Z5)=</t>
    <phoneticPr fontId="2"/>
  </si>
  <si>
    <t>鋼鉄線</t>
    <rPh sb="0" eb="3">
      <t>コウテt</t>
    </rPh>
    <phoneticPr fontId="2"/>
  </si>
  <si>
    <t>真鍮線</t>
    <rPh sb="0" eb="3">
      <t>シンチュウセn</t>
    </rPh>
    <phoneticPr fontId="2"/>
  </si>
  <si>
    <t>ヤング率文献値：</t>
    <phoneticPr fontId="2"/>
  </si>
  <si>
    <t>20.1~21.6</t>
    <phoneticPr fontId="2"/>
  </si>
  <si>
    <t>針金の長さl(mm)</t>
    <rPh sb="0" eb="2">
      <t>ハリg</t>
    </rPh>
    <phoneticPr fontId="2"/>
  </si>
  <si>
    <t>針金の直径2r(mm)</t>
    <rPh sb="0" eb="2">
      <t>ハリガn</t>
    </rPh>
    <phoneticPr fontId="2"/>
  </si>
  <si>
    <t>Z0</t>
    <phoneticPr fontId="2"/>
  </si>
  <si>
    <t>Z1</t>
    <phoneticPr fontId="2"/>
  </si>
  <si>
    <t>Z2</t>
    <phoneticPr fontId="2"/>
  </si>
  <si>
    <t>Z3</t>
    <phoneticPr fontId="2"/>
  </si>
  <si>
    <t>Z4</t>
    <phoneticPr fontId="2"/>
  </si>
  <si>
    <t>Z5</t>
    <phoneticPr fontId="2"/>
  </si>
  <si>
    <t>g(m/s^2)=</t>
    <phoneticPr fontId="2"/>
  </si>
  <si>
    <t>Z0-Z3</t>
    <phoneticPr fontId="2"/>
  </si>
  <si>
    <t>Z1-Z4</t>
    <phoneticPr fontId="2"/>
  </si>
  <si>
    <t>Z2-Z5</t>
    <phoneticPr fontId="2"/>
  </si>
  <si>
    <t>π=</t>
    <phoneticPr fontId="2"/>
  </si>
  <si>
    <t>E=lg/(aπr^2)=</t>
    <phoneticPr fontId="2"/>
  </si>
  <si>
    <t>a=</t>
    <phoneticPr fontId="2"/>
  </si>
  <si>
    <t>×10^10N/m^2</t>
    <phoneticPr fontId="2"/>
  </si>
  <si>
    <t>×10^-3m/kg</t>
    <phoneticPr fontId="2"/>
  </si>
  <si>
    <t>10^-3m/kg</t>
    <phoneticPr fontId="2"/>
  </si>
  <si>
    <t>Pa</t>
    <phoneticPr fontId="2"/>
  </si>
  <si>
    <t>lの残差</t>
    <rPh sb="2" eb="4">
      <t>ザンs</t>
    </rPh>
    <phoneticPr fontId="2"/>
  </si>
  <si>
    <t>lの残差^2</t>
    <rPh sb="2" eb="4">
      <t>ザンs</t>
    </rPh>
    <phoneticPr fontId="2"/>
  </si>
  <si>
    <t>rの残差</t>
    <rPh sb="2" eb="4">
      <t>ザンs</t>
    </rPh>
    <phoneticPr fontId="2"/>
  </si>
  <si>
    <t>rの残差^2</t>
    <rPh sb="2" eb="4">
      <t>ザンs</t>
    </rPh>
    <phoneticPr fontId="2"/>
  </si>
  <si>
    <t>α=</t>
    <phoneticPr fontId="2"/>
  </si>
  <si>
    <t>Δl</t>
    <phoneticPr fontId="2"/>
  </si>
  <si>
    <t>Δr</t>
    <phoneticPr fontId="2"/>
  </si>
  <si>
    <t>〈l〉</t>
    <phoneticPr fontId="2"/>
  </si>
  <si>
    <t>〈r〉</t>
    <phoneticPr fontId="2"/>
  </si>
  <si>
    <t>|Δl/〈l〉|</t>
    <phoneticPr fontId="2"/>
  </si>
  <si>
    <t>|Δr/〈r〉|</t>
    <phoneticPr fontId="2"/>
  </si>
  <si>
    <t>z</t>
    <phoneticPr fontId="2"/>
  </si>
  <si>
    <t>α</t>
    <phoneticPr fontId="2"/>
  </si>
  <si>
    <t>β</t>
    <phoneticPr fontId="2"/>
  </si>
  <si>
    <t>αの残差</t>
    <phoneticPr fontId="2"/>
  </si>
  <si>
    <t>αの残差^2</t>
    <phoneticPr fontId="2"/>
  </si>
  <si>
    <t>|ΔE/〈E〉|&lt;=</t>
    <phoneticPr fontId="2"/>
  </si>
  <si>
    <t>|ΔE|&lt;=</t>
    <phoneticPr fontId="2"/>
  </si>
  <si>
    <t>Z</t>
    <phoneticPr fontId="2"/>
  </si>
  <si>
    <t>以下は[方法2]による</t>
    <rPh sb="0" eb="2">
      <t>イk</t>
    </rPh>
    <rPh sb="4" eb="6">
      <t>ホウホ</t>
    </rPh>
    <phoneticPr fontId="2"/>
  </si>
  <si>
    <t>■</t>
    <phoneticPr fontId="2"/>
  </si>
  <si>
    <t>：入力値</t>
    <rPh sb="1" eb="4">
      <t>ニュウリョクチ</t>
    </rPh>
    <phoneticPr fontId="2"/>
  </si>
  <si>
    <t>：TAが欲している値</t>
    <rPh sb="4" eb="5">
      <t>ホッ</t>
    </rPh>
    <rPh sb="9" eb="10">
      <t>アタイ</t>
    </rPh>
    <phoneticPr fontId="2"/>
  </si>
  <si>
    <t>ヤング率の測定エミュレータ</t>
    <rPh sb="3" eb="4">
      <t>リツ</t>
    </rPh>
    <rPh sb="5" eb="7">
      <t>ソクテイ</t>
    </rPh>
    <phoneticPr fontId="2"/>
  </si>
  <si>
    <t>ΣM</t>
    <phoneticPr fontId="2"/>
  </si>
  <si>
    <t>Σz</t>
    <phoneticPr fontId="2"/>
  </si>
  <si>
    <t>ΣMz</t>
    <phoneticPr fontId="2"/>
  </si>
  <si>
    <t>ΣM^2</t>
    <phoneticPr fontId="2"/>
  </si>
  <si>
    <t>ΣZ</t>
    <phoneticPr fontId="2"/>
  </si>
  <si>
    <t>ΣMZ</t>
    <phoneticPr fontId="2"/>
  </si>
  <si>
    <t>zの残差^2</t>
    <rPh sb="2" eb="4">
      <t>ザンサ</t>
    </rPh>
    <phoneticPr fontId="2"/>
  </si>
  <si>
    <t>αの標準誤差</t>
    <rPh sb="2" eb="4">
      <t>ヒョウジュン</t>
    </rPh>
    <rPh sb="4" eb="6">
      <t>ゴサ</t>
    </rPh>
    <phoneticPr fontId="2"/>
  </si>
  <si>
    <t>|Δα/〈α〉|</t>
    <phoneticPr fontId="2"/>
  </si>
  <si>
    <t>〈α〉</t>
    <phoneticPr fontId="2"/>
  </si>
  <si>
    <t>Δα</t>
    <phoneticPr fontId="2"/>
  </si>
  <si>
    <t>Iの標準誤差</t>
    <rPh sb="2" eb="4">
      <t>ヒョウジュン</t>
    </rPh>
    <rPh sb="4" eb="6">
      <t>ゴサ</t>
    </rPh>
    <phoneticPr fontId="2"/>
  </si>
  <si>
    <t>rの標準誤差</t>
    <rPh sb="2" eb="4">
      <t>ヒョウジュン</t>
    </rPh>
    <rPh sb="4" eb="6">
      <t>ゴサ</t>
    </rPh>
    <phoneticPr fontId="2"/>
  </si>
  <si>
    <t>lの残差の2乗和：</t>
    <rPh sb="2" eb="4">
      <t>ザンサ</t>
    </rPh>
    <rPh sb="6" eb="8">
      <t>ジョウワ</t>
    </rPh>
    <phoneticPr fontId="2"/>
  </si>
  <si>
    <t>rの残差の2乗和：</t>
    <rPh sb="2" eb="4">
      <t>ザンサ</t>
    </rPh>
    <rPh sb="6" eb="8">
      <t>ジョウワ</t>
    </rPh>
    <phoneticPr fontId="2"/>
  </si>
  <si>
    <t>Zの残差の2乗和：</t>
    <rPh sb="2" eb="4">
      <t>ザンサ</t>
    </rPh>
    <rPh sb="6" eb="8">
      <t>ジョウワ</t>
    </rPh>
    <phoneticPr fontId="2"/>
  </si>
  <si>
    <t>Zの残差^2</t>
    <rPh sb="2" eb="4">
      <t>ザンサ</t>
    </rPh>
    <phoneticPr fontId="2"/>
  </si>
  <si>
    <t>zの残差の2乗和：</t>
    <rPh sb="2" eb="4">
      <t>ザンサ</t>
    </rPh>
    <rPh sb="6" eb="8">
      <t>ジョウワ</t>
    </rPh>
    <rPh sb="7" eb="8">
      <t>ワ</t>
    </rPh>
    <phoneticPr fontId="2"/>
  </si>
  <si>
    <t>lの標準誤差</t>
    <rPh sb="2" eb="4">
      <t>ヒョウジュン</t>
    </rPh>
    <rPh sb="4" eb="6">
      <t>ゴサ</t>
    </rPh>
    <phoneticPr fontId="2"/>
  </si>
  <si>
    <t>lの残差の2乗和：</t>
    <rPh sb="2" eb="4">
      <t>ザンs</t>
    </rPh>
    <rPh sb="6" eb="8">
      <t>ジョウワ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</si>
</sst>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_ "/>
    <numFmt numFmtId="177" formatCode="0.0_ "/>
    <numFmt numFmtId="178" formatCode="0.00_ "/>
    <numFmt numFmtId="179" formatCode="0.000_ "/>
    <numFmt numFmtId="180" formatCode="0.0000_ "/>
    <numFmt numFmtId="181" formatCode="0.0000000_ "/>
    <numFmt numFmtId="182" formatCode="0.00000000_ "/>
    <numFmt numFmtId="183" formatCode="0.000000000_ "/>
    <numFmt numFmtId="184" formatCode="0.00000_ "/>
    <numFmt numFmtId="185" formatCode="0.000000_ "/>
  </numFmts>
  <fonts count="7" x14ac:knownFonts="1">
    <font>
      <sz val="12"/>
      <color theme="1"/>
      <name val="Yu Gothic"/>
      <family val="2"/>
      <charset val="128"/>
      <scheme val="minor"/>
    </font>
    <font>
      <sz val="12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u/>
      <sz val="12"/>
      <color theme="10"/>
      <name val="Yu Gothic"/>
      <family val="2"/>
      <charset val="128"/>
      <scheme val="minor"/>
    </font>
    <font>
      <u/>
      <sz val="12"/>
      <color theme="11"/>
      <name val="Yu Gothic"/>
      <family val="2"/>
      <charset val="128"/>
      <scheme val="minor"/>
    </font>
    <font>
      <sz val="12"/>
      <color theme="7" tint="0.59999389629810485"/>
      <name val="Yu Gothic"/>
      <family val="2"/>
      <charset val="128"/>
      <scheme val="minor"/>
    </font>
    <font>
      <sz val="12"/>
      <color theme="8" tint="0.59999389629810485"/>
      <name val="Yu Gothic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</fills>
  <borders count="28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</borders>
  <cellStyleXfs count="2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6" fontId="0" fillId="0" borderId="1" xfId="0" applyNumberFormat="1" applyBorder="1"/>
    <xf numFmtId="176" fontId="0" fillId="0" borderId="4" xfId="0" applyNumberFormat="1" applyBorder="1"/>
    <xf numFmtId="176" fontId="0" fillId="0" borderId="12" xfId="0" applyNumberFormat="1" applyBorder="1"/>
    <xf numFmtId="176" fontId="0" fillId="0" borderId="18" xfId="0" applyNumberFormat="1" applyBorder="1"/>
    <xf numFmtId="176" fontId="0" fillId="0" borderId="7" xfId="0" applyNumberFormat="1" applyBorder="1"/>
    <xf numFmtId="176" fontId="0" fillId="0" borderId="13" xfId="0" applyNumberFormat="1" applyBorder="1"/>
    <xf numFmtId="176" fontId="0" fillId="0" borderId="19" xfId="0" applyNumberFormat="1" applyBorder="1"/>
    <xf numFmtId="176" fontId="0" fillId="0" borderId="14" xfId="0" applyNumberFormat="1" applyBorder="1"/>
    <xf numFmtId="176" fontId="0" fillId="0" borderId="26" xfId="0" applyNumberFormat="1" applyBorder="1"/>
    <xf numFmtId="176" fontId="0" fillId="0" borderId="22" xfId="0" applyNumberFormat="1" applyBorder="1"/>
    <xf numFmtId="176" fontId="0" fillId="0" borderId="23" xfId="0" applyNumberFormat="1" applyBorder="1"/>
    <xf numFmtId="176" fontId="0" fillId="3" borderId="0" xfId="0" applyNumberFormat="1" applyFill="1"/>
    <xf numFmtId="177" fontId="0" fillId="0" borderId="7" xfId="0" applyNumberFormat="1" applyBorder="1"/>
    <xf numFmtId="177" fontId="0" fillId="0" borderId="10" xfId="0" applyNumberFormat="1" applyBorder="1"/>
    <xf numFmtId="177" fontId="0" fillId="0" borderId="4" xfId="0" applyNumberFormat="1" applyBorder="1"/>
    <xf numFmtId="177" fontId="0" fillId="2" borderId="8" xfId="0" applyNumberFormat="1" applyFill="1" applyBorder="1"/>
    <xf numFmtId="179" fontId="0" fillId="2" borderId="8" xfId="0" applyNumberFormat="1" applyFill="1" applyBorder="1"/>
    <xf numFmtId="179" fontId="0" fillId="2" borderId="11" xfId="0" applyNumberFormat="1" applyFill="1" applyBorder="1"/>
    <xf numFmtId="179" fontId="0" fillId="2" borderId="12" xfId="0" applyNumberFormat="1" applyFill="1" applyBorder="1"/>
    <xf numFmtId="179" fontId="0" fillId="2" borderId="13" xfId="0" applyNumberFormat="1" applyFill="1" applyBorder="1"/>
    <xf numFmtId="179" fontId="0" fillId="0" borderId="14" xfId="0" applyNumberFormat="1" applyBorder="1"/>
    <xf numFmtId="179" fontId="0" fillId="0" borderId="15" xfId="0" applyNumberFormat="1" applyBorder="1"/>
    <xf numFmtId="179" fontId="0" fillId="0" borderId="16" xfId="0" applyNumberFormat="1" applyBorder="1"/>
    <xf numFmtId="179" fontId="0" fillId="0" borderId="17" xfId="0" applyNumberFormat="1" applyBorder="1"/>
    <xf numFmtId="179" fontId="0" fillId="0" borderId="19" xfId="1" applyNumberFormat="1" applyFont="1" applyBorder="1"/>
    <xf numFmtId="179" fontId="0" fillId="0" borderId="20" xfId="1" applyNumberFormat="1" applyFont="1" applyBorder="1"/>
    <xf numFmtId="179" fontId="0" fillId="0" borderId="0" xfId="0" applyNumberFormat="1"/>
    <xf numFmtId="180" fontId="0" fillId="0" borderId="0" xfId="0" applyNumberFormat="1"/>
    <xf numFmtId="177" fontId="0" fillId="2" borderId="5" xfId="0" applyNumberFormat="1" applyFill="1" applyBorder="1"/>
    <xf numFmtId="177" fontId="0" fillId="2" borderId="24" xfId="0" applyNumberFormat="1" applyFill="1" applyBorder="1"/>
    <xf numFmtId="177" fontId="0" fillId="0" borderId="2" xfId="0" applyNumberFormat="1" applyBorder="1"/>
    <xf numFmtId="179" fontId="0" fillId="2" borderId="6" xfId="0" applyNumberFormat="1" applyFill="1" applyBorder="1"/>
    <xf numFmtId="179" fontId="0" fillId="2" borderId="9" xfId="0" applyNumberFormat="1" applyFill="1" applyBorder="1"/>
    <xf numFmtId="179" fontId="0" fillId="2" borderId="25" xfId="0" applyNumberFormat="1" applyFill="1" applyBorder="1"/>
    <xf numFmtId="179" fontId="0" fillId="0" borderId="3" xfId="0" applyNumberFormat="1" applyBorder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79" fontId="0" fillId="0" borderId="27" xfId="0" applyNumberFormat="1" applyBorder="1"/>
    <xf numFmtId="179" fontId="0" fillId="0" borderId="21" xfId="1" applyNumberFormat="1" applyFont="1" applyBorder="1"/>
    <xf numFmtId="177" fontId="0" fillId="2" borderId="0" xfId="0" applyNumberFormat="1" applyFill="1"/>
    <xf numFmtId="182" fontId="0" fillId="3" borderId="0" xfId="0" applyNumberFormat="1" applyFill="1"/>
    <xf numFmtId="184" fontId="0" fillId="0" borderId="0" xfId="0" applyNumberFormat="1"/>
    <xf numFmtId="176" fontId="0" fillId="0" borderId="2" xfId="0" applyNumberFormat="1" applyBorder="1"/>
    <xf numFmtId="176" fontId="0" fillId="0" borderId="3" xfId="0" applyNumberFormat="1" applyBorder="1"/>
    <xf numFmtId="176" fontId="5" fillId="0" borderId="0" xfId="0" applyNumberFormat="1" applyFont="1"/>
    <xf numFmtId="176" fontId="6" fillId="0" borderId="0" xfId="0" applyNumberFormat="1" applyFont="1"/>
    <xf numFmtId="185" fontId="0" fillId="0" borderId="0" xfId="0" applyNumberFormat="1"/>
  </cellXfs>
  <cellStyles count="22">
    <cellStyle name="パーセント" xfId="1" builtinId="5"/>
    <cellStyle name="ハイパーリンク" xfId="20" builtinId="8" hidden="1"/>
    <cellStyle name="ハイパーリンク" xfId="10" builtinId="8" hidden="1"/>
    <cellStyle name="ハイパーリンク" xfId="12" builtinId="8" hidden="1"/>
    <cellStyle name="ハイパーリンク" xfId="14" builtinId="8" hidden="1"/>
    <cellStyle name="ハイパーリンク" xfId="16" builtinId="8" hidden="1"/>
    <cellStyle name="ハイパーリンク" xfId="18" builtinId="8" hidden="1"/>
    <cellStyle name="ハイパーリンク" xfId="4" builtinId="8" hidden="1"/>
    <cellStyle name="ハイパーリンク" xfId="8" builtinId="8" hidden="1"/>
    <cellStyle name="ハイパーリンク" xfId="6" builtinId="8" hidden="1"/>
    <cellStyle name="ハイパーリンク" xfId="2" builtinId="8" hidden="1"/>
    <cellStyle name="標準" xfId="0" builtinId="0"/>
    <cellStyle name="表示済みのハイパーリンク" xfId="19" builtinId="9" hidden="1"/>
    <cellStyle name="表示済みのハイパーリンク" xfId="21" builtinId="9" hidden="1"/>
    <cellStyle name="表示済みのハイパーリンク" xfId="9" builtinId="9" hidden="1"/>
    <cellStyle name="表示済みのハイパーリンク" xfId="11" builtinId="9" hidden="1"/>
    <cellStyle name="表示済みのハイパーリンク" xfId="13" builtinId="9" hidden="1"/>
    <cellStyle name="表示済みのハイパーリンク" xfId="17" builtinId="9" hidden="1"/>
    <cellStyle name="表示済みのハイパーリンク" xfId="15" builtinId="9" hidden="1"/>
    <cellStyle name="表示済みのハイパーリンク" xfId="5" builtinId="9" hidden="1"/>
    <cellStyle name="表示済みのハイパーリンク" xfId="7" builtinId="9" hidden="1"/>
    <cellStyle name="表示済みのハイパーリンク" xfId="3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showRuler="0" zoomScale="70" zoomScaleNormal="70" workbookViewId="0">
      <selection activeCell="A2" sqref="A2"/>
    </sheetView>
  </sheetViews>
  <sheetFormatPr baseColWidth="10" defaultColWidth="12.7109375" defaultRowHeight="18" x14ac:dyDescent="0.25"/>
  <cols>
    <col min="1" max="1" width="13.42578125" style="1" bestFit="1" customWidth="1"/>
    <col min="2" max="3" width="17.42578125" style="1" bestFit="1" customWidth="1"/>
    <col min="4" max="4" width="9" style="1" bestFit="1" customWidth="1"/>
    <col min="5" max="5" width="14.85546875" style="1" customWidth="1"/>
    <col min="6" max="6" width="18.28515625" style="1" customWidth="1"/>
    <col min="7" max="7" width="14.7109375" style="1" customWidth="1"/>
    <col min="8" max="8" width="11.28515625" style="1" bestFit="1" customWidth="1"/>
    <col min="9" max="9" width="15.7109375" style="1" customWidth="1"/>
    <col min="10" max="10" width="10.28515625" style="1" bestFit="1" customWidth="1"/>
    <col min="11" max="11" width="15.5703125" style="1" bestFit="1" customWidth="1"/>
    <col min="12" max="12" width="12.7109375" style="1"/>
    <col min="13" max="13" width="14.5703125" style="1" bestFit="1" customWidth="1"/>
    <col min="14" max="14" width="13.42578125" style="1" bestFit="1" customWidth="1"/>
    <col min="15" max="15" width="14.5703125" style="1" bestFit="1" customWidth="1"/>
    <col min="16" max="16" width="15.5703125" style="1" bestFit="1" customWidth="1"/>
    <col min="17" max="16384" width="12.7109375" style="1"/>
  </cols>
  <sheetData>
    <row r="1" spans="1:14" x14ac:dyDescent="0.25">
      <c r="A1" s="1" t="s">
        <v>59</v>
      </c>
      <c r="D1" s="49" t="s">
        <v>56</v>
      </c>
      <c r="E1" s="1" t="s">
        <v>57</v>
      </c>
    </row>
    <row r="2" spans="1:14" x14ac:dyDescent="0.25">
      <c r="D2" s="50" t="s">
        <v>56</v>
      </c>
      <c r="E2" s="1" t="s">
        <v>58</v>
      </c>
    </row>
    <row r="4" spans="1:14" x14ac:dyDescent="0.25">
      <c r="A4" s="1" t="s">
        <v>25</v>
      </c>
      <c r="B4" s="46">
        <v>9.7976299999999998</v>
      </c>
      <c r="C4" s="1" t="s">
        <v>55</v>
      </c>
      <c r="J4" s="49"/>
    </row>
    <row r="5" spans="1:14" x14ac:dyDescent="0.25">
      <c r="A5" s="1" t="s">
        <v>29</v>
      </c>
      <c r="B5" s="3">
        <v>3.14</v>
      </c>
      <c r="J5" s="50"/>
    </row>
    <row r="6" spans="1:14" x14ac:dyDescent="0.25">
      <c r="K6" s="30"/>
    </row>
    <row r="7" spans="1:14" ht="19" thickBot="1" x14ac:dyDescent="0.3">
      <c r="A7" s="1" t="s">
        <v>0</v>
      </c>
      <c r="B7" s="1" t="s">
        <v>13</v>
      </c>
      <c r="C7" s="1" t="s">
        <v>15</v>
      </c>
      <c r="D7" s="1" t="s">
        <v>16</v>
      </c>
      <c r="E7" s="1" t="s">
        <v>32</v>
      </c>
      <c r="K7" s="30"/>
    </row>
    <row r="8" spans="1:14" ht="20" thickTop="1" thickBot="1" x14ac:dyDescent="0.3">
      <c r="A8" s="4" t="s">
        <v>8</v>
      </c>
      <c r="B8" s="47" t="s">
        <v>1</v>
      </c>
      <c r="C8" s="47" t="s">
        <v>2</v>
      </c>
      <c r="D8" s="47" t="s">
        <v>3</v>
      </c>
      <c r="E8" s="47"/>
      <c r="F8" s="47" t="s">
        <v>9</v>
      </c>
      <c r="G8" s="48"/>
      <c r="I8" s="1" t="s">
        <v>54</v>
      </c>
      <c r="J8" s="1" t="s">
        <v>76</v>
      </c>
      <c r="K8" s="1" t="s">
        <v>60</v>
      </c>
      <c r="L8" s="1" t="s">
        <v>64</v>
      </c>
      <c r="M8" s="1" t="s">
        <v>65</v>
      </c>
      <c r="N8" s="1" t="s">
        <v>63</v>
      </c>
    </row>
    <row r="9" spans="1:14" ht="19" thickTop="1" x14ac:dyDescent="0.25">
      <c r="A9" s="18">
        <v>0</v>
      </c>
      <c r="B9" s="20">
        <v>15.645</v>
      </c>
      <c r="C9" s="22">
        <v>15.563000000000001</v>
      </c>
      <c r="D9" s="6" t="s">
        <v>19</v>
      </c>
      <c r="E9" s="25">
        <f>AVERAGE(B9,C9)</f>
        <v>15.603999999999999</v>
      </c>
      <c r="F9" s="6"/>
      <c r="G9" s="7"/>
      <c r="H9" s="1" t="s">
        <v>49</v>
      </c>
      <c r="I9" s="30">
        <f>(SUM(A9:A14)*SUMPRODUCT(A9:A14, E9:E14)-SUMSQ(A9:A14)*SUM(E9:E14))/(SUM(A9:A14)^2-6*SUMSQ(A9:A14))</f>
        <v>15.580809523809521</v>
      </c>
      <c r="J9" s="51">
        <f>(E9-($I$10*A9+$I$9))^2</f>
        <v>5.3779818594115703E-4</v>
      </c>
      <c r="K9" s="2">
        <f>SUM(A9:A14)</f>
        <v>3</v>
      </c>
      <c r="L9" s="30">
        <f>SUM(E9:E14)</f>
        <v>92.787999999999997</v>
      </c>
      <c r="M9" s="30">
        <f>SUMPRODUCT(A9:A14,E9:E14)</f>
        <v>46.231400000000001</v>
      </c>
      <c r="N9" s="3">
        <f>SUMSQ(A9:A14)</f>
        <v>2.2000000000000002</v>
      </c>
    </row>
    <row r="10" spans="1:14" x14ac:dyDescent="0.25">
      <c r="A10" s="16">
        <v>0.2</v>
      </c>
      <c r="B10" s="20">
        <v>15.519</v>
      </c>
      <c r="C10" s="23">
        <v>15.489000000000001</v>
      </c>
      <c r="D10" s="9" t="s">
        <v>20</v>
      </c>
      <c r="E10" s="26">
        <f>AVERAGE(B10,C10)</f>
        <v>15.504000000000001</v>
      </c>
      <c r="F10" s="9"/>
      <c r="G10" s="10"/>
      <c r="H10" s="1" t="s">
        <v>48</v>
      </c>
      <c r="I10" s="30">
        <f>(K9*L9-6*M9)/(K9^2-6*N9)</f>
        <v>-0.23228571428571085</v>
      </c>
      <c r="J10" s="51">
        <f t="shared" ref="J10:J14" si="0">(E10-($I$10*A10+$I$9))^2</f>
        <v>9.2126702947826664E-4</v>
      </c>
      <c r="K10" s="30"/>
    </row>
    <row r="11" spans="1:14" x14ac:dyDescent="0.25">
      <c r="A11" s="16">
        <v>0.4</v>
      </c>
      <c r="B11" s="20">
        <v>15.494999999999999</v>
      </c>
      <c r="C11" s="23">
        <v>15.473000000000001</v>
      </c>
      <c r="D11" s="9" t="s">
        <v>21</v>
      </c>
      <c r="E11" s="26">
        <f t="shared" ref="E11:E13" si="1">AVERAGE(B11,C11)</f>
        <v>15.484</v>
      </c>
      <c r="F11" s="9"/>
      <c r="G11" s="10"/>
      <c r="I11" s="31"/>
      <c r="J11" s="51">
        <f t="shared" si="0"/>
        <v>1.5172879818577418E-5</v>
      </c>
    </row>
    <row r="12" spans="1:14" x14ac:dyDescent="0.25">
      <c r="A12" s="16">
        <v>0.6</v>
      </c>
      <c r="B12" s="20">
        <v>15.451000000000001</v>
      </c>
      <c r="C12" s="23">
        <v>15.430999999999999</v>
      </c>
      <c r="D12" s="9" t="s">
        <v>22</v>
      </c>
      <c r="E12" s="26">
        <f t="shared" si="1"/>
        <v>15.440999999999999</v>
      </c>
      <c r="F12" s="9" t="s">
        <v>10</v>
      </c>
      <c r="G12" s="28">
        <f>E9-E12</f>
        <v>0.16300000000000026</v>
      </c>
      <c r="I12" s="31"/>
      <c r="J12" s="51">
        <f t="shared" si="0"/>
        <v>1.919274376420146E-7</v>
      </c>
      <c r="M12" s="46"/>
    </row>
    <row r="13" spans="1:14" x14ac:dyDescent="0.25">
      <c r="A13" s="16">
        <v>0.8</v>
      </c>
      <c r="B13" s="20">
        <v>15.416</v>
      </c>
      <c r="C13" s="23">
        <v>15.41</v>
      </c>
      <c r="D13" s="9" t="s">
        <v>23</v>
      </c>
      <c r="E13" s="26">
        <f t="shared" si="1"/>
        <v>15.413</v>
      </c>
      <c r="F13" s="9" t="s">
        <v>11</v>
      </c>
      <c r="G13" s="28">
        <f>E10-E13</f>
        <v>9.100000000000108E-2</v>
      </c>
      <c r="I13" s="31"/>
      <c r="J13" s="51">
        <f t="shared" si="0"/>
        <v>3.2468607709755303E-4</v>
      </c>
      <c r="K13" s="1" t="s">
        <v>67</v>
      </c>
      <c r="L13" s="1" t="s">
        <v>71</v>
      </c>
      <c r="M13" s="1" t="s">
        <v>72</v>
      </c>
    </row>
    <row r="14" spans="1:14" ht="19" thickBot="1" x14ac:dyDescent="0.3">
      <c r="A14" s="17">
        <v>1</v>
      </c>
      <c r="B14" s="21">
        <v>15.342000000000001</v>
      </c>
      <c r="C14" s="24">
        <f>B14</f>
        <v>15.342000000000001</v>
      </c>
      <c r="D14" s="11" t="s">
        <v>24</v>
      </c>
      <c r="E14" s="27">
        <f>AVERAGE(B14,C14)</f>
        <v>15.342000000000001</v>
      </c>
      <c r="F14" s="11" t="s">
        <v>12</v>
      </c>
      <c r="G14" s="29">
        <f>E11-E14</f>
        <v>0.14199999999999946</v>
      </c>
      <c r="I14" s="31"/>
      <c r="J14" s="51">
        <f t="shared" si="0"/>
        <v>4.2560090702945919E-5</v>
      </c>
      <c r="K14" s="51">
        <f>SQRT($J$15/(6*5))</f>
        <v>7.8351264411753267E-3</v>
      </c>
      <c r="L14" s="39">
        <f>SQRT(F24/(6*5))</f>
        <v>0.8</v>
      </c>
      <c r="M14" s="41">
        <f>SQRT(H24/(6*5))</f>
        <v>2.0816659994661347E-4</v>
      </c>
      <c r="N14" s="41"/>
    </row>
    <row r="15" spans="1:14" ht="20" thickTop="1" thickBot="1" x14ac:dyDescent="0.3">
      <c r="A15" s="4"/>
      <c r="B15" s="47"/>
      <c r="C15" s="47"/>
      <c r="D15" s="12" t="s">
        <v>5</v>
      </c>
      <c r="E15" s="42">
        <f>AVERAGE(E9:E14)</f>
        <v>15.464666666666666</v>
      </c>
      <c r="F15" s="13" t="s">
        <v>4</v>
      </c>
      <c r="G15" s="43">
        <f>AVERAGE(G12:G14)</f>
        <v>0.13200000000000026</v>
      </c>
      <c r="I15" s="1" t="s">
        <v>75</v>
      </c>
      <c r="J15" s="39">
        <f>SUM(J9:J14)</f>
        <v>1.841676190476142E-3</v>
      </c>
      <c r="K15" s="1" t="s">
        <v>70</v>
      </c>
      <c r="L15" s="1" t="s">
        <v>41</v>
      </c>
      <c r="M15" s="1" t="s">
        <v>42</v>
      </c>
    </row>
    <row r="16" spans="1:14" ht="19" thickTop="1" x14ac:dyDescent="0.25">
      <c r="A16" s="1" t="s">
        <v>7</v>
      </c>
      <c r="B16" s="44">
        <v>0.6</v>
      </c>
      <c r="K16" s="51">
        <f>0.6745*K14</f>
        <v>5.2847927845727574E-3</v>
      </c>
      <c r="L16" s="39">
        <f>0.6745*L14</f>
        <v>0.53959999999999997</v>
      </c>
      <c r="M16" s="41">
        <f>0.6745*M14</f>
        <v>1.4040837166399078E-4</v>
      </c>
      <c r="N16" s="46"/>
    </row>
    <row r="17" spans="1:14" ht="19" thickBot="1" x14ac:dyDescent="0.3">
      <c r="K17" s="1" t="s">
        <v>69</v>
      </c>
      <c r="L17" s="1" t="s">
        <v>43</v>
      </c>
      <c r="M17" s="1" t="s">
        <v>44</v>
      </c>
    </row>
    <row r="18" spans="1:14" ht="20" thickTop="1" thickBot="1" x14ac:dyDescent="0.3">
      <c r="A18" s="4" t="s">
        <v>6</v>
      </c>
      <c r="B18" s="47" t="s">
        <v>17</v>
      </c>
      <c r="C18" s="48" t="s">
        <v>18</v>
      </c>
      <c r="E18" s="1" t="s">
        <v>36</v>
      </c>
      <c r="F18" s="1" t="s">
        <v>37</v>
      </c>
      <c r="G18" s="1" t="s">
        <v>38</v>
      </c>
      <c r="H18" s="1" t="s">
        <v>39</v>
      </c>
      <c r="K18" s="30">
        <f>ABS(I10)</f>
        <v>0.23228571428571085</v>
      </c>
      <c r="L18" s="2">
        <f>B24</f>
        <v>947.6</v>
      </c>
      <c r="M18" s="30">
        <f>C24/2</f>
        <v>0.24619999999999997</v>
      </c>
      <c r="N18" s="30"/>
    </row>
    <row r="19" spans="1:14" ht="19" thickTop="1" x14ac:dyDescent="0.25">
      <c r="A19" s="5">
        <v>1</v>
      </c>
      <c r="B19" s="32">
        <v>951</v>
      </c>
      <c r="C19" s="35">
        <v>0.49299999999999999</v>
      </c>
      <c r="E19" s="3">
        <f>B$24-B19</f>
        <v>-3.3999999999999773</v>
      </c>
      <c r="F19" s="31">
        <f>E19^2</f>
        <v>11.559999999999846</v>
      </c>
      <c r="G19" s="31">
        <f>(C$24-C19)/2</f>
        <v>-3.0000000000002247E-4</v>
      </c>
      <c r="H19" s="40">
        <f>G19^2</f>
        <v>9.0000000000013485E-8</v>
      </c>
      <c r="I19" s="30"/>
      <c r="J19" s="46"/>
      <c r="K19" s="1" t="s">
        <v>68</v>
      </c>
      <c r="L19" s="1" t="s">
        <v>45</v>
      </c>
      <c r="M19" s="1" t="s">
        <v>46</v>
      </c>
      <c r="N19" s="1" t="s">
        <v>52</v>
      </c>
    </row>
    <row r="20" spans="1:14" x14ac:dyDescent="0.25">
      <c r="A20" s="8">
        <v>2</v>
      </c>
      <c r="B20" s="19">
        <v>947</v>
      </c>
      <c r="C20" s="36">
        <v>0.49199999999999999</v>
      </c>
      <c r="E20" s="3">
        <f>B$24-B20</f>
        <v>0.60000000000002274</v>
      </c>
      <c r="F20" s="31">
        <f t="shared" ref="F20:F23" si="2">E20^2</f>
        <v>0.3600000000000273</v>
      </c>
      <c r="G20" s="31">
        <f>(C$24-C20)/2</f>
        <v>1.9999999999997797E-4</v>
      </c>
      <c r="H20" s="40">
        <f t="shared" ref="H20:H23" si="3">G20^2</f>
        <v>3.9999999999991186E-8</v>
      </c>
      <c r="I20" s="30"/>
      <c r="J20" s="46"/>
      <c r="K20" s="39">
        <f>K16/K18</f>
        <v>2.2751260450190561E-2</v>
      </c>
      <c r="L20" s="39">
        <f>ABS(L16/L18)</f>
        <v>5.6943858168003369E-4</v>
      </c>
      <c r="M20" s="39">
        <f>ABS(M16/M18)</f>
        <v>5.7030207824529161E-4</v>
      </c>
      <c r="N20" s="46">
        <f xml:space="preserve"> SUM(L20, M20*2,K20)</f>
        <v>2.4461303188361178E-2</v>
      </c>
    </row>
    <row r="21" spans="1:14" x14ac:dyDescent="0.25">
      <c r="A21" s="8">
        <v>3</v>
      </c>
      <c r="B21" s="19">
        <v>948</v>
      </c>
      <c r="C21" s="36">
        <v>0.49199999999999999</v>
      </c>
      <c r="E21" s="3">
        <f>B$24-B21</f>
        <v>-0.39999999999997726</v>
      </c>
      <c r="F21" s="31">
        <f t="shared" si="2"/>
        <v>0.15999999999998182</v>
      </c>
      <c r="G21" s="31">
        <f>(C$24-C21)/2</f>
        <v>1.9999999999997797E-4</v>
      </c>
      <c r="H21" s="40">
        <f t="shared" si="3"/>
        <v>3.9999999999991186E-8</v>
      </c>
      <c r="N21" s="1" t="s">
        <v>53</v>
      </c>
    </row>
    <row r="22" spans="1:14" x14ac:dyDescent="0.25">
      <c r="A22" s="8">
        <v>4</v>
      </c>
      <c r="B22" s="19">
        <v>947</v>
      </c>
      <c r="C22" s="36">
        <v>0.49099999999999999</v>
      </c>
      <c r="E22" s="3">
        <f>B$24-B22</f>
        <v>0.60000000000002274</v>
      </c>
      <c r="F22" s="31">
        <f t="shared" si="2"/>
        <v>0.3600000000000273</v>
      </c>
      <c r="G22" s="31">
        <f>(C$24-C22)/2</f>
        <v>6.9999999999997842E-4</v>
      </c>
      <c r="H22" s="40">
        <f t="shared" si="3"/>
        <v>4.8999999999996979E-7</v>
      </c>
      <c r="N22" s="1">
        <f>N20*B26</f>
        <v>5136856464.9246655</v>
      </c>
    </row>
    <row r="23" spans="1:14" ht="19" thickBot="1" x14ac:dyDescent="0.3">
      <c r="A23" s="14">
        <v>5</v>
      </c>
      <c r="B23" s="33">
        <v>945</v>
      </c>
      <c r="C23" s="37">
        <v>0.49399999999999999</v>
      </c>
      <c r="E23" s="3">
        <f>B$24-B23</f>
        <v>2.6000000000000227</v>
      </c>
      <c r="F23" s="31">
        <f t="shared" si="2"/>
        <v>6.7600000000001179</v>
      </c>
      <c r="G23" s="31">
        <f>(C$24-C23)/2</f>
        <v>-8.0000000000002292E-4</v>
      </c>
      <c r="H23" s="40">
        <f t="shared" si="3"/>
        <v>6.4000000000003665E-7</v>
      </c>
    </row>
    <row r="24" spans="1:14" ht="20" thickTop="1" thickBot="1" x14ac:dyDescent="0.3">
      <c r="A24" s="4" t="s">
        <v>5</v>
      </c>
      <c r="B24" s="34">
        <f>AVERAGE(B19:B23)</f>
        <v>947.6</v>
      </c>
      <c r="C24" s="38">
        <f>AVERAGE(C19:C23)</f>
        <v>0.49239999999999995</v>
      </c>
      <c r="E24" s="1" t="s">
        <v>73</v>
      </c>
      <c r="F24" s="30">
        <f>SUM(F19:F23)</f>
        <v>19.200000000000003</v>
      </c>
      <c r="G24" s="1" t="s">
        <v>74</v>
      </c>
      <c r="H24" s="40">
        <f>SUM(H19:H23)</f>
        <v>1.3000000000000024E-6</v>
      </c>
    </row>
    <row r="25" spans="1:14" ht="19" thickTop="1" x14ac:dyDescent="0.25"/>
    <row r="26" spans="1:14" x14ac:dyDescent="0.25">
      <c r="A26" s="1" t="s">
        <v>30</v>
      </c>
      <c r="B26" s="15">
        <f>(B24*10^-3*B$4)/(B27*-1*10^-3*B$5*(M18*10^-3)^2)</f>
        <v>209999296659.25607</v>
      </c>
      <c r="C26" s="1" t="s">
        <v>35</v>
      </c>
    </row>
    <row r="27" spans="1:14" x14ac:dyDescent="0.25">
      <c r="A27" s="1" t="s">
        <v>40</v>
      </c>
      <c r="B27" s="45">
        <f>I10</f>
        <v>-0.23228571428571085</v>
      </c>
      <c r="C27" s="1" t="s">
        <v>33</v>
      </c>
    </row>
    <row r="28" spans="1:14" x14ac:dyDescent="0.25">
      <c r="K28" s="30"/>
    </row>
    <row r="29" spans="1:14" ht="19" thickBot="1" x14ac:dyDescent="0.3">
      <c r="A29" s="1" t="s">
        <v>0</v>
      </c>
      <c r="B29" s="1" t="s">
        <v>14</v>
      </c>
      <c r="C29" s="1" t="s">
        <v>15</v>
      </c>
      <c r="D29" s="3">
        <v>10.06</v>
      </c>
      <c r="E29" s="1" t="s">
        <v>32</v>
      </c>
      <c r="K29" s="30"/>
    </row>
    <row r="30" spans="1:14" ht="20" thickTop="1" thickBot="1" x14ac:dyDescent="0.3">
      <c r="A30" s="4" t="s">
        <v>8</v>
      </c>
      <c r="B30" s="47" t="s">
        <v>1</v>
      </c>
      <c r="C30" s="47" t="s">
        <v>2</v>
      </c>
      <c r="D30" s="47" t="s">
        <v>3</v>
      </c>
      <c r="E30" s="47"/>
      <c r="F30" s="47" t="s">
        <v>9</v>
      </c>
      <c r="G30" s="48"/>
      <c r="I30" s="1" t="s">
        <v>47</v>
      </c>
      <c r="J30" s="1" t="s">
        <v>66</v>
      </c>
      <c r="K30" s="1" t="s">
        <v>60</v>
      </c>
      <c r="L30" s="1" t="s">
        <v>61</v>
      </c>
      <c r="M30" s="1" t="s">
        <v>62</v>
      </c>
      <c r="N30" s="1" t="s">
        <v>63</v>
      </c>
    </row>
    <row r="31" spans="1:14" ht="19" thickTop="1" x14ac:dyDescent="0.25">
      <c r="A31" s="18">
        <v>0</v>
      </c>
      <c r="B31" s="20">
        <v>14.218999999999999</v>
      </c>
      <c r="C31" s="22">
        <v>14.18</v>
      </c>
      <c r="D31" s="6" t="s">
        <v>19</v>
      </c>
      <c r="E31" s="25">
        <f>AVERAGE(B31,C31)</f>
        <v>14.1995</v>
      </c>
      <c r="F31" s="6"/>
      <c r="G31" s="7"/>
      <c r="H31" s="1" t="s">
        <v>49</v>
      </c>
      <c r="I31" s="30">
        <f>(SUM(A31:A36)*SUMPRODUCT(A31:A36, E31:E36)-SUMSQ(A31:A36)*SUM(E31:E36))/(SUM(A31:A36)^2-6*SUMSQ(A31:A36))</f>
        <v>14.1835</v>
      </c>
      <c r="J31" s="51">
        <f>(E31-($I$32*A31+$I$31))^2</f>
        <v>2.5600000000000048E-4</v>
      </c>
      <c r="K31" s="2">
        <f>(SUM(A31:A36))</f>
        <v>3</v>
      </c>
      <c r="L31" s="30">
        <f>SUM(E31:E36)</f>
        <v>82.390500000000003</v>
      </c>
      <c r="M31" s="30">
        <f>SUMPRODUCT(A31:A36,E31:E36)</f>
        <v>40.562800000000003</v>
      </c>
      <c r="N31" s="3">
        <f>SUMSQ(A31:A36)</f>
        <v>2.2000000000000002</v>
      </c>
    </row>
    <row r="32" spans="1:14" x14ac:dyDescent="0.25">
      <c r="A32" s="16">
        <v>0.2</v>
      </c>
      <c r="B32" s="20">
        <v>14.065</v>
      </c>
      <c r="C32" s="23">
        <v>13.989000000000001</v>
      </c>
      <c r="D32" s="9" t="s">
        <v>20</v>
      </c>
      <c r="E32" s="26">
        <f>AVERAGE(B32,C32)</f>
        <v>14.027000000000001</v>
      </c>
      <c r="F32" s="9"/>
      <c r="G32" s="10"/>
      <c r="H32" s="1" t="s">
        <v>48</v>
      </c>
      <c r="I32" s="30">
        <f>(K31*L31-6*M31)/(K31^2-6*N31)</f>
        <v>-0.90350000000000119</v>
      </c>
      <c r="J32" s="51">
        <f t="shared" ref="J32:J36" si="4">(E32-($I$32*A32+$I$31))^2</f>
        <v>5.8564000000002148E-4</v>
      </c>
      <c r="K32" s="30"/>
    </row>
    <row r="33" spans="1:14" x14ac:dyDescent="0.25">
      <c r="A33" s="16">
        <v>0.4</v>
      </c>
      <c r="B33" s="20">
        <v>13.778</v>
      </c>
      <c r="C33" s="23">
        <v>13.804</v>
      </c>
      <c r="D33" s="9" t="s">
        <v>21</v>
      </c>
      <c r="E33" s="26">
        <f t="shared" ref="E33:E35" si="5">AVERAGE(B33,C33)</f>
        <v>13.791</v>
      </c>
      <c r="F33" s="9"/>
      <c r="G33" s="10"/>
      <c r="I33" s="30"/>
      <c r="J33" s="51">
        <f t="shared" si="4"/>
        <v>9.6721000000002172E-4</v>
      </c>
    </row>
    <row r="34" spans="1:14" x14ac:dyDescent="0.25">
      <c r="A34" s="16">
        <v>0.6</v>
      </c>
      <c r="B34" s="20">
        <v>13.613</v>
      </c>
      <c r="C34" s="23">
        <v>13.599</v>
      </c>
      <c r="D34" s="9" t="s">
        <v>22</v>
      </c>
      <c r="E34" s="26">
        <f t="shared" si="5"/>
        <v>13.606</v>
      </c>
      <c r="F34" s="9" t="s">
        <v>26</v>
      </c>
      <c r="G34" s="28">
        <f>E31-E34</f>
        <v>0.59350000000000058</v>
      </c>
      <c r="I34" s="30"/>
      <c r="J34" s="51">
        <f t="shared" si="4"/>
        <v>1.253159999999944E-3</v>
      </c>
    </row>
    <row r="35" spans="1:14" x14ac:dyDescent="0.25">
      <c r="A35" s="16">
        <v>0.8</v>
      </c>
      <c r="B35" s="20">
        <v>13.446999999999999</v>
      </c>
      <c r="C35" s="23">
        <v>13.449</v>
      </c>
      <c r="D35" s="9" t="s">
        <v>23</v>
      </c>
      <c r="E35" s="26">
        <f t="shared" si="5"/>
        <v>13.448</v>
      </c>
      <c r="F35" s="9" t="s">
        <v>27</v>
      </c>
      <c r="G35" s="28">
        <f>E32-E35</f>
        <v>0.57900000000000063</v>
      </c>
      <c r="I35" s="30"/>
      <c r="J35" s="51">
        <f t="shared" si="4"/>
        <v>1.6128999999997013E-4</v>
      </c>
      <c r="K35" s="1" t="s">
        <v>67</v>
      </c>
      <c r="L35" s="1" t="s">
        <v>78</v>
      </c>
      <c r="M35" s="1" t="s">
        <v>72</v>
      </c>
    </row>
    <row r="36" spans="1:14" ht="19" thickBot="1" x14ac:dyDescent="0.3">
      <c r="A36" s="17">
        <v>1</v>
      </c>
      <c r="B36" s="21">
        <v>13.319000000000001</v>
      </c>
      <c r="C36" s="24">
        <f>B36</f>
        <v>13.319000000000001</v>
      </c>
      <c r="D36" s="11" t="s">
        <v>24</v>
      </c>
      <c r="E36" s="27">
        <f>AVERAGE(B36,C36)</f>
        <v>13.319000000000001</v>
      </c>
      <c r="F36" s="11" t="s">
        <v>28</v>
      </c>
      <c r="G36" s="29">
        <f>E33-E36</f>
        <v>0.47199999999999953</v>
      </c>
      <c r="I36" s="30"/>
      <c r="J36" s="51">
        <f t="shared" si="4"/>
        <v>1.5210000000001154E-3</v>
      </c>
      <c r="K36" s="51">
        <f>SQRT(J37/(6*5))</f>
        <v>1.257550529137242E-2</v>
      </c>
      <c r="L36" s="39">
        <f>SQRT(F46/(6*5))</f>
        <v>2.3860706890897707</v>
      </c>
      <c r="M36" s="41">
        <f>SQRT(H46/(6*5))</f>
        <v>1.8257418583505553E-4</v>
      </c>
    </row>
    <row r="37" spans="1:14" ht="20" thickTop="1" thickBot="1" x14ac:dyDescent="0.3">
      <c r="A37" s="4"/>
      <c r="B37" s="47"/>
      <c r="C37" s="47"/>
      <c r="D37" s="47" t="s">
        <v>5</v>
      </c>
      <c r="E37" s="47"/>
      <c r="F37" s="13" t="s">
        <v>4</v>
      </c>
      <c r="G37" s="43">
        <f>AVERAGE(G34:G36)</f>
        <v>0.54816666666666691</v>
      </c>
      <c r="I37" s="1" t="s">
        <v>77</v>
      </c>
      <c r="J37" s="39">
        <f>SUM(J31:J36)</f>
        <v>4.7443000000000728E-3</v>
      </c>
      <c r="K37" s="1" t="s">
        <v>70</v>
      </c>
      <c r="L37" s="1" t="s">
        <v>41</v>
      </c>
      <c r="M37" s="1" t="s">
        <v>42</v>
      </c>
    </row>
    <row r="38" spans="1:14" ht="19" thickTop="1" x14ac:dyDescent="0.25">
      <c r="A38" s="1" t="s">
        <v>7</v>
      </c>
      <c r="B38" s="44">
        <v>0.6</v>
      </c>
      <c r="K38" s="51">
        <f>0.6745*K36</f>
        <v>8.4821783190306976E-3</v>
      </c>
      <c r="L38" s="39">
        <f>0.6745*L36</f>
        <v>1.6094046797910504</v>
      </c>
      <c r="M38" s="41">
        <f>0.6745*M36</f>
        <v>1.2314628834574496E-4</v>
      </c>
    </row>
    <row r="39" spans="1:14" ht="19" thickBot="1" x14ac:dyDescent="0.3">
      <c r="K39" s="1" t="s">
        <v>69</v>
      </c>
      <c r="L39" s="1" t="s">
        <v>43</v>
      </c>
      <c r="M39" s="1" t="s">
        <v>44</v>
      </c>
    </row>
    <row r="40" spans="1:14" ht="20" thickTop="1" thickBot="1" x14ac:dyDescent="0.3">
      <c r="A40" s="4" t="s">
        <v>6</v>
      </c>
      <c r="B40" s="47" t="s">
        <v>17</v>
      </c>
      <c r="C40" s="48" t="s">
        <v>18</v>
      </c>
      <c r="E40" s="1" t="s">
        <v>36</v>
      </c>
      <c r="F40" s="1" t="s">
        <v>37</v>
      </c>
      <c r="G40" s="1" t="s">
        <v>38</v>
      </c>
      <c r="H40" s="1" t="s">
        <v>39</v>
      </c>
      <c r="I40" s="1" t="s">
        <v>50</v>
      </c>
      <c r="J40" s="1" t="s">
        <v>51</v>
      </c>
      <c r="K40" s="30">
        <f>ABS(I32)</f>
        <v>0.90350000000000119</v>
      </c>
      <c r="L40" s="2">
        <f>B46</f>
        <v>1001.2</v>
      </c>
      <c r="M40" s="31">
        <f>C46/2</f>
        <v>0.2495</v>
      </c>
    </row>
    <row r="41" spans="1:14" ht="19" thickTop="1" x14ac:dyDescent="0.25">
      <c r="A41" s="5">
        <v>1</v>
      </c>
      <c r="B41" s="32">
        <v>990</v>
      </c>
      <c r="C41" s="35">
        <v>0.498</v>
      </c>
      <c r="E41" s="3">
        <f>B$46-B41</f>
        <v>11.200000000000045</v>
      </c>
      <c r="F41" s="31">
        <f>E41^2</f>
        <v>125.44000000000102</v>
      </c>
      <c r="G41" s="31">
        <f>(C$46-C41)/2</f>
        <v>5.0000000000000044E-4</v>
      </c>
      <c r="H41" s="40">
        <f>G41^2</f>
        <v>2.5000000000000047E-7</v>
      </c>
      <c r="I41" s="30">
        <f>K$29-I32</f>
        <v>0.90350000000000119</v>
      </c>
      <c r="J41" s="46">
        <f>I41^2</f>
        <v>0.81631225000000218</v>
      </c>
      <c r="K41" s="1" t="s">
        <v>68</v>
      </c>
      <c r="L41" s="1" t="s">
        <v>45</v>
      </c>
      <c r="M41" s="1" t="s">
        <v>46</v>
      </c>
      <c r="N41" s="1" t="s">
        <v>52</v>
      </c>
    </row>
    <row r="42" spans="1:14" x14ac:dyDescent="0.25">
      <c r="A42" s="8">
        <v>2</v>
      </c>
      <c r="B42" s="19">
        <v>1002</v>
      </c>
      <c r="C42" s="36">
        <v>0.5</v>
      </c>
      <c r="E42" s="3">
        <f>B$46-B42</f>
        <v>-0.79999999999995453</v>
      </c>
      <c r="F42" s="31">
        <f t="shared" ref="F42:F45" si="6">E42^2</f>
        <v>0.63999999999992729</v>
      </c>
      <c r="G42" s="31">
        <f>(C$46-C42)/2</f>
        <v>-5.0000000000000044E-4</v>
      </c>
      <c r="H42" s="40">
        <f t="shared" ref="H42:H45" si="7">G42^2</f>
        <v>2.5000000000000047E-7</v>
      </c>
      <c r="I42" s="30">
        <f>K$29-J32</f>
        <v>-5.8564000000002148E-4</v>
      </c>
      <c r="J42" s="46">
        <f>I42^2</f>
        <v>3.4297420960002514E-7</v>
      </c>
      <c r="K42" s="39">
        <f>K38/K40</f>
        <v>9.3881331699288174E-3</v>
      </c>
      <c r="L42" s="39">
        <f>ABS(L38/L40)</f>
        <v>1.6074757089403219E-3</v>
      </c>
      <c r="M42" s="39">
        <f>ABS(M38/M40)</f>
        <v>4.935722979789377E-4</v>
      </c>
      <c r="N42" s="46">
        <f xml:space="preserve"> SUM(L42, M42*2,K42)</f>
        <v>1.1982753474827015E-2</v>
      </c>
    </row>
    <row r="43" spans="1:14" x14ac:dyDescent="0.25">
      <c r="A43" s="8">
        <v>3</v>
      </c>
      <c r="B43" s="19">
        <v>1003</v>
      </c>
      <c r="C43" s="36">
        <v>0.499</v>
      </c>
      <c r="E43" s="3">
        <f>B$46-B43</f>
        <v>-1.7999999999999545</v>
      </c>
      <c r="F43" s="31">
        <f t="shared" si="6"/>
        <v>3.2399999999998363</v>
      </c>
      <c r="G43" s="31">
        <f>(C$46-C43)/2</f>
        <v>0</v>
      </c>
      <c r="H43" s="40">
        <f t="shared" si="7"/>
        <v>0</v>
      </c>
      <c r="N43" s="1" t="s">
        <v>53</v>
      </c>
    </row>
    <row r="44" spans="1:14" x14ac:dyDescent="0.25">
      <c r="A44" s="8">
        <v>4</v>
      </c>
      <c r="B44" s="19">
        <v>1004</v>
      </c>
      <c r="C44" s="36">
        <v>0.5</v>
      </c>
      <c r="E44" s="3">
        <f>B$46-B44</f>
        <v>-2.7999999999999545</v>
      </c>
      <c r="F44" s="31">
        <f t="shared" si="6"/>
        <v>7.839999999999745</v>
      </c>
      <c r="G44" s="31">
        <f>(C$46-C44)/2</f>
        <v>-5.0000000000000044E-4</v>
      </c>
      <c r="H44" s="40">
        <f t="shared" si="7"/>
        <v>2.5000000000000047E-7</v>
      </c>
      <c r="N44" s="1">
        <f>N42*B48</f>
        <v>665578975.9937607</v>
      </c>
    </row>
    <row r="45" spans="1:14" ht="19" thickBot="1" x14ac:dyDescent="0.3">
      <c r="A45" s="14">
        <v>5</v>
      </c>
      <c r="B45" s="33">
        <v>1007</v>
      </c>
      <c r="C45" s="37">
        <v>0.498</v>
      </c>
      <c r="E45" s="3">
        <f>B$46-B45</f>
        <v>-5.7999999999999545</v>
      </c>
      <c r="F45" s="31">
        <f t="shared" si="6"/>
        <v>33.639999999999475</v>
      </c>
      <c r="G45" s="31">
        <f>(C$46-C45)/2</f>
        <v>5.0000000000000044E-4</v>
      </c>
      <c r="H45" s="40">
        <f t="shared" si="7"/>
        <v>2.5000000000000047E-7</v>
      </c>
    </row>
    <row r="46" spans="1:14" ht="20" thickTop="1" thickBot="1" x14ac:dyDescent="0.3">
      <c r="A46" s="4" t="s">
        <v>5</v>
      </c>
      <c r="B46" s="34">
        <f>AVERAGE(B41:B45)</f>
        <v>1001.2</v>
      </c>
      <c r="C46" s="38">
        <f>AVERAGE(C41:C45)</f>
        <v>0.499</v>
      </c>
      <c r="E46" s="1" t="s">
        <v>79</v>
      </c>
      <c r="F46" s="30">
        <f>SUM(F41:F45)</f>
        <v>170.8</v>
      </c>
      <c r="G46" s="1" t="s">
        <v>74</v>
      </c>
      <c r="H46" s="40">
        <f>SUM(H41:H45)</f>
        <v>1.0000000000000019E-6</v>
      </c>
    </row>
    <row r="47" spans="1:14" ht="19" thickTop="1" x14ac:dyDescent="0.25"/>
    <row r="48" spans="1:14" x14ac:dyDescent="0.25">
      <c r="A48" s="1" t="s">
        <v>30</v>
      </c>
      <c r="B48" s="15">
        <f>(B46*10^-3*B$4)/(B49*-1*10^-3*B$5*(M40*10^-3)^2)</f>
        <v>55544744151.833527</v>
      </c>
      <c r="C48" s="1" t="s">
        <v>35</v>
      </c>
    </row>
    <row r="49" spans="1:3" x14ac:dyDescent="0.25">
      <c r="A49" s="1" t="s">
        <v>31</v>
      </c>
      <c r="B49" s="45">
        <f>I32</f>
        <v>-0.90350000000000119</v>
      </c>
      <c r="C49" s="1" t="s">
        <v>34</v>
      </c>
    </row>
  </sheetData>
  <phoneticPr fontId="2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小川　凜久</cp:lastModifiedBy>
  <dcterms:created xsi:type="dcterms:W3CDTF">2017-10-20T03:58:00Z</dcterms:created>
  <dcterms:modified xsi:type="dcterms:W3CDTF">2025-08-29T11:12:58Z</dcterms:modified>
</cp:coreProperties>
</file>