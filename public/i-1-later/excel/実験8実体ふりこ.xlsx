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57d85e701a0c9f1/ドキュメント/学校関連/大学/授業/2024後期/工学基礎実験/No.8 実体振り子/"/>
    </mc:Choice>
  </mc:AlternateContent>
  <xr:revisionPtr revIDLastSave="176" documentId="11_AD4D066CA252ABDACC1048ED9156F6C673EEDF52" xr6:coauthVersionLast="47" xr6:coauthVersionMax="47" xr10:uidLastSave="{4D3BC31E-3554-4616-BB7D-BE66D172C2EF}"/>
  <bookViews>
    <workbookView xWindow="1530" yWindow="2730" windowWidth="16785" windowHeight="11190" activeTab="1" xr2:uid="{00000000-000D-0000-FFFF-FFFF00000000}"/>
  </bookViews>
  <sheets>
    <sheet name="長方形" sheetId="1" r:id="rId1"/>
    <sheet name="台形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B14" i="2"/>
  <c r="B11" i="2"/>
  <c r="B12" i="2"/>
  <c r="B37" i="1"/>
  <c r="B36" i="1"/>
  <c r="B35" i="1"/>
  <c r="B34" i="1"/>
  <c r="B33" i="1"/>
  <c r="B32" i="1"/>
  <c r="B30" i="1"/>
  <c r="B31" i="1"/>
  <c r="B29" i="1"/>
  <c r="B25" i="1"/>
  <c r="B22" i="1"/>
  <c r="B21" i="1"/>
  <c r="B23" i="1" s="1"/>
  <c r="B19" i="1"/>
  <c r="B26" i="1" s="1"/>
  <c r="B18" i="1"/>
  <c r="B24" i="1" s="1"/>
  <c r="F21" i="2"/>
  <c r="G21" i="2" s="1"/>
  <c r="F20" i="2"/>
  <c r="G20" i="2" s="1"/>
  <c r="G19" i="2"/>
  <c r="F19" i="2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5" i="2"/>
  <c r="G5" i="2" s="1"/>
  <c r="F4" i="2"/>
  <c r="G4" i="2" s="1"/>
  <c r="F3" i="2"/>
  <c r="G3" i="2" s="1"/>
  <c r="F2" i="2"/>
  <c r="G2" i="2" s="1"/>
  <c r="B10" i="2"/>
  <c r="B8" i="2"/>
  <c r="B6" i="2"/>
  <c r="B12" i="1"/>
  <c r="B11" i="1"/>
  <c r="B10" i="1"/>
  <c r="B8" i="1"/>
  <c r="B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B6" i="1"/>
  <c r="B20" i="1" l="1"/>
  <c r="B27" i="1" s="1"/>
  <c r="B28" i="1" s="1"/>
  <c r="B7" i="2"/>
</calcChain>
</file>

<file path=xl/sharedStrings.xml><?xml version="1.0" encoding="utf-8"?>
<sst xmlns="http://schemas.openxmlformats.org/spreadsheetml/2006/main" count="56" uniqueCount="39">
  <si>
    <t>a</t>
    <phoneticPr fontId="1"/>
  </si>
  <si>
    <t>b</t>
    <phoneticPr fontId="1"/>
  </si>
  <si>
    <t>c</t>
    <phoneticPr fontId="1"/>
  </si>
  <si>
    <t>d</t>
    <phoneticPr fontId="1"/>
  </si>
  <si>
    <t>M</t>
    <phoneticPr fontId="1"/>
  </si>
  <si>
    <t>mT</t>
    <phoneticPr fontId="1"/>
  </si>
  <si>
    <t>T</t>
    <phoneticPr fontId="1"/>
  </si>
  <si>
    <t>sT</t>
    <phoneticPr fontId="1"/>
  </si>
  <si>
    <t>di</t>
    <phoneticPr fontId="1"/>
  </si>
  <si>
    <t>di^2</t>
    <phoneticPr fontId="1"/>
  </si>
  <si>
    <t>estimated_ig</t>
    <phoneticPr fontId="1"/>
  </si>
  <si>
    <t>g</t>
    <phoneticPr fontId="1"/>
  </si>
  <si>
    <t>h</t>
    <phoneticPr fontId="1"/>
  </si>
  <si>
    <t>I</t>
    <phoneticPr fontId="1"/>
  </si>
  <si>
    <t>ig</t>
    <phoneticPr fontId="1"/>
  </si>
  <si>
    <t>da</t>
    <phoneticPr fontId="1"/>
  </si>
  <si>
    <t>db</t>
    <phoneticPr fontId="1"/>
  </si>
  <si>
    <t>dc</t>
    <phoneticPr fontId="1"/>
  </si>
  <si>
    <t>dd</t>
    <phoneticPr fontId="1"/>
  </si>
  <si>
    <t>ds</t>
    <phoneticPr fontId="1"/>
  </si>
  <si>
    <t>dt</t>
    <phoneticPr fontId="1"/>
  </si>
  <si>
    <t>du</t>
    <phoneticPr fontId="1"/>
  </si>
  <si>
    <t>s</t>
    <phoneticPr fontId="1"/>
  </si>
  <si>
    <t>t</t>
    <phoneticPr fontId="1"/>
  </si>
  <si>
    <t>u</t>
    <phoneticPr fontId="1"/>
  </si>
  <si>
    <t>rs</t>
    <phoneticPr fontId="1"/>
  </si>
  <si>
    <t>rc</t>
    <phoneticPr fontId="1"/>
  </si>
  <si>
    <t>rt</t>
    <phoneticPr fontId="1"/>
  </si>
  <si>
    <t>dh</t>
    <phoneticPr fontId="1"/>
  </si>
  <si>
    <t>rh</t>
    <phoneticPr fontId="1"/>
  </si>
  <si>
    <t>rT</t>
    <phoneticPr fontId="1"/>
  </si>
  <si>
    <t>rI</t>
    <phoneticPr fontId="1"/>
  </si>
  <si>
    <t>rM</t>
    <phoneticPr fontId="1"/>
  </si>
  <si>
    <t>dM</t>
    <phoneticPr fontId="1"/>
  </si>
  <si>
    <t>p</t>
    <phoneticPr fontId="1"/>
  </si>
  <si>
    <t>dp</t>
    <phoneticPr fontId="1"/>
  </si>
  <si>
    <t>rp</t>
    <phoneticPr fontId="1"/>
  </si>
  <si>
    <t>dI</t>
    <phoneticPr fontId="1"/>
  </si>
  <si>
    <t>dig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</si>
</sst>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B5CEA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opLeftCell="A16" workbookViewId="0">
      <selection activeCell="B39" sqref="B39"/>
    </sheetView>
  </sheetViews>
  <sheetFormatPr defaultRowHeight="18.75"/>
  <cols>
    <col min="1" max="1" width="12.75" bestFit="1" customWidth="1"/>
  </cols>
  <sheetData>
    <row r="1" spans="1:7">
      <c r="A1" t="s">
        <v>0</v>
      </c>
      <c r="B1">
        <v>9.9000000000000005E-2</v>
      </c>
      <c r="E1" t="s">
        <v>6</v>
      </c>
      <c r="F1" t="s">
        <v>8</v>
      </c>
      <c r="G1" t="s">
        <v>9</v>
      </c>
    </row>
    <row r="2" spans="1:7">
      <c r="A2" t="s">
        <v>1</v>
      </c>
      <c r="B2">
        <v>9.9000000000000005E-2</v>
      </c>
      <c r="D2">
        <v>1</v>
      </c>
      <c r="E2">
        <v>0.99299999999999999</v>
      </c>
      <c r="F2">
        <f>E2-$B$6</f>
        <v>-1.4649999999999941E-2</v>
      </c>
      <c r="G2">
        <f>F2*F2</f>
        <v>2.1462249999999828E-4</v>
      </c>
    </row>
    <row r="3" spans="1:7">
      <c r="A3" t="s">
        <v>2</v>
      </c>
      <c r="B3">
        <v>0.35</v>
      </c>
      <c r="D3">
        <v>2</v>
      </c>
      <c r="E3">
        <v>1.0109999999999999</v>
      </c>
      <c r="F3">
        <f t="shared" ref="F3:F21" si="0">E3-$B$6</f>
        <v>3.3499999999999641E-3</v>
      </c>
      <c r="G3">
        <f t="shared" ref="G3:G21" si="1">F3*F3</f>
        <v>1.1222499999999759E-5</v>
      </c>
    </row>
    <row r="4" spans="1:7">
      <c r="A4" t="s">
        <v>3</v>
      </c>
      <c r="B4">
        <v>3.0000000000000001E-3</v>
      </c>
      <c r="D4">
        <v>3</v>
      </c>
      <c r="E4">
        <v>1.0089999999999999</v>
      </c>
      <c r="F4">
        <f t="shared" si="0"/>
        <v>1.3499999999999623E-3</v>
      </c>
      <c r="G4">
        <f t="shared" si="1"/>
        <v>1.8224999999998983E-6</v>
      </c>
    </row>
    <row r="5" spans="1:7">
      <c r="A5" t="s">
        <v>4</v>
      </c>
      <c r="B5">
        <v>0.23100000000000001</v>
      </c>
      <c r="D5">
        <v>4</v>
      </c>
      <c r="E5">
        <v>1.008</v>
      </c>
      <c r="F5">
        <f t="shared" si="0"/>
        <v>3.5000000000007248E-4</v>
      </c>
      <c r="G5">
        <f t="shared" si="1"/>
        <v>1.2250000000005073E-7</v>
      </c>
    </row>
    <row r="6" spans="1:7">
      <c r="A6" t="s">
        <v>5</v>
      </c>
      <c r="B6" s="1">
        <f>AVERAGE(E2:E21)</f>
        <v>1.0076499999999999</v>
      </c>
      <c r="D6">
        <v>5</v>
      </c>
      <c r="E6">
        <v>1.0149999999999999</v>
      </c>
      <c r="F6">
        <f t="shared" si="0"/>
        <v>7.3499999999999677E-3</v>
      </c>
      <c r="G6">
        <f t="shared" si="1"/>
        <v>5.4022499999999526E-5</v>
      </c>
    </row>
    <row r="7" spans="1:7">
      <c r="A7" t="s">
        <v>7</v>
      </c>
      <c r="B7">
        <f>SQRT(SUM(G2:G21)/COUNT(G2:G21)/(COUNT(G2:G21)-1))</f>
        <v>2.2644564817842511E-3</v>
      </c>
      <c r="D7">
        <v>6</v>
      </c>
      <c r="E7">
        <v>1.0229999999999999</v>
      </c>
      <c r="F7">
        <f t="shared" si="0"/>
        <v>1.5349999999999975E-2</v>
      </c>
      <c r="G7">
        <f t="shared" si="1"/>
        <v>2.3562249999999922E-4</v>
      </c>
    </row>
    <row r="8" spans="1:7">
      <c r="A8" t="s">
        <v>10</v>
      </c>
      <c r="B8">
        <f>B5 / 72 * (3 * B1^2 + 3 * B2^2 + 4 * B3^2 + 8*B1*B2*B3^2/(B1+B2)^2)</f>
        <v>2.5467942499999997E-3</v>
      </c>
      <c r="D8">
        <v>7</v>
      </c>
      <c r="E8">
        <v>1.006</v>
      </c>
      <c r="F8">
        <f t="shared" si="0"/>
        <v>-1.6499999999999293E-3</v>
      </c>
      <c r="G8">
        <f t="shared" si="1"/>
        <v>2.7224999999997668E-6</v>
      </c>
    </row>
    <row r="9" spans="1:7">
      <c r="A9" t="s">
        <v>11</v>
      </c>
      <c r="B9">
        <v>9.8000000000000007</v>
      </c>
      <c r="D9">
        <v>8</v>
      </c>
      <c r="E9">
        <v>1.0149999999999999</v>
      </c>
      <c r="F9">
        <f t="shared" si="0"/>
        <v>7.3499999999999677E-3</v>
      </c>
      <c r="G9">
        <f t="shared" si="1"/>
        <v>5.4022499999999526E-5</v>
      </c>
    </row>
    <row r="10" spans="1:7">
      <c r="A10" t="s">
        <v>12</v>
      </c>
      <c r="B10">
        <f>(B1+2*B2)*B3/3/(B1+B2)-B4</f>
        <v>0.17200000000000001</v>
      </c>
      <c r="D10">
        <v>9</v>
      </c>
      <c r="E10">
        <v>1.0049999999999999</v>
      </c>
      <c r="F10">
        <f t="shared" si="0"/>
        <v>-2.6500000000000412E-3</v>
      </c>
      <c r="G10">
        <f t="shared" si="1"/>
        <v>7.0225000000002186E-6</v>
      </c>
    </row>
    <row r="11" spans="1:7">
      <c r="A11" t="s">
        <v>13</v>
      </c>
      <c r="B11">
        <f>B5*B9*B10*(B6/2/PI())^2</f>
        <v>1.0014428824342465E-2</v>
      </c>
      <c r="D11">
        <v>10</v>
      </c>
      <c r="E11">
        <v>1.0169999999999999</v>
      </c>
      <c r="F11">
        <f t="shared" si="0"/>
        <v>9.3499999999999694E-3</v>
      </c>
      <c r="G11">
        <f t="shared" si="1"/>
        <v>8.7422499999999429E-5</v>
      </c>
    </row>
    <row r="12" spans="1:7">
      <c r="A12" t="s">
        <v>14</v>
      </c>
      <c r="B12">
        <f>B11 - B5*B10^2</f>
        <v>3.1805248243424629E-3</v>
      </c>
      <c r="D12">
        <v>11</v>
      </c>
      <c r="E12">
        <v>1.016</v>
      </c>
      <c r="F12">
        <f t="shared" si="0"/>
        <v>8.3500000000000796E-3</v>
      </c>
      <c r="G12">
        <f t="shared" si="1"/>
        <v>6.972250000000133E-5</v>
      </c>
    </row>
    <row r="13" spans="1:7">
      <c r="D13">
        <v>12</v>
      </c>
      <c r="E13">
        <v>1.006</v>
      </c>
      <c r="F13">
        <f t="shared" si="0"/>
        <v>-1.6499999999999293E-3</v>
      </c>
      <c r="G13">
        <f t="shared" si="1"/>
        <v>2.7224999999997668E-6</v>
      </c>
    </row>
    <row r="14" spans="1:7">
      <c r="A14" t="s">
        <v>15</v>
      </c>
      <c r="B14">
        <v>5.0000000000000001E-4</v>
      </c>
      <c r="D14">
        <v>13</v>
      </c>
      <c r="E14">
        <v>0.98699999999999999</v>
      </c>
      <c r="F14">
        <f t="shared" si="0"/>
        <v>-2.0649999999999946E-2</v>
      </c>
      <c r="G14">
        <f t="shared" si="1"/>
        <v>4.2642249999999776E-4</v>
      </c>
    </row>
    <row r="15" spans="1:7">
      <c r="A15" t="s">
        <v>16</v>
      </c>
      <c r="B15">
        <v>5.0000000000000001E-4</v>
      </c>
      <c r="D15">
        <v>14</v>
      </c>
      <c r="E15">
        <v>0.98699999999999999</v>
      </c>
      <c r="F15">
        <f t="shared" si="0"/>
        <v>-2.0649999999999946E-2</v>
      </c>
      <c r="G15">
        <f t="shared" si="1"/>
        <v>4.2642249999999776E-4</v>
      </c>
    </row>
    <row r="16" spans="1:7">
      <c r="A16" t="s">
        <v>17</v>
      </c>
      <c r="B16">
        <v>5.0000000000000001E-4</v>
      </c>
      <c r="D16">
        <v>15</v>
      </c>
      <c r="E16">
        <v>1.0089999999999999</v>
      </c>
      <c r="F16">
        <f t="shared" si="0"/>
        <v>1.3499999999999623E-3</v>
      </c>
      <c r="G16">
        <f t="shared" si="1"/>
        <v>1.8224999999998983E-6</v>
      </c>
    </row>
    <row r="17" spans="1:7">
      <c r="A17" t="s">
        <v>18</v>
      </c>
      <c r="B17">
        <v>5.0000000000000001E-4</v>
      </c>
      <c r="D17">
        <v>16</v>
      </c>
      <c r="E17">
        <v>1.0149999999999999</v>
      </c>
      <c r="F17">
        <f t="shared" si="0"/>
        <v>7.3499999999999677E-3</v>
      </c>
      <c r="G17">
        <f t="shared" si="1"/>
        <v>5.4022499999999526E-5</v>
      </c>
    </row>
    <row r="18" spans="1:7">
      <c r="A18" t="s">
        <v>19</v>
      </c>
      <c r="B18">
        <f>B14+2*B15</f>
        <v>1.5E-3</v>
      </c>
      <c r="D18">
        <v>17</v>
      </c>
      <c r="E18">
        <v>1.0149999999999999</v>
      </c>
      <c r="F18">
        <f t="shared" si="0"/>
        <v>7.3499999999999677E-3</v>
      </c>
      <c r="G18">
        <f t="shared" si="1"/>
        <v>5.4022499999999526E-5</v>
      </c>
    </row>
    <row r="19" spans="1:7">
      <c r="A19" t="s">
        <v>20</v>
      </c>
      <c r="B19">
        <f>B14+B15</f>
        <v>1E-3</v>
      </c>
      <c r="D19">
        <v>18</v>
      </c>
      <c r="E19">
        <v>1.012</v>
      </c>
      <c r="F19">
        <f t="shared" si="0"/>
        <v>4.350000000000076E-3</v>
      </c>
      <c r="G19">
        <f t="shared" si="1"/>
        <v>1.8922500000000661E-5</v>
      </c>
    </row>
    <row r="20" spans="1:7">
      <c r="A20" t="s">
        <v>21</v>
      </c>
      <c r="B20">
        <f>B23*SUM(B24:B26)</f>
        <v>2.0176767676767676E-3</v>
      </c>
      <c r="D20">
        <v>19</v>
      </c>
      <c r="E20">
        <v>1.0109999999999999</v>
      </c>
      <c r="F20">
        <f t="shared" si="0"/>
        <v>3.3499999999999641E-3</v>
      </c>
      <c r="G20">
        <f t="shared" si="1"/>
        <v>1.1222499999999759E-5</v>
      </c>
    </row>
    <row r="21" spans="1:7">
      <c r="A21" t="s">
        <v>22</v>
      </c>
      <c r="B21">
        <f>B1+2*B2</f>
        <v>0.29700000000000004</v>
      </c>
      <c r="D21">
        <v>20</v>
      </c>
      <c r="E21">
        <v>0.99299999999999999</v>
      </c>
      <c r="F21">
        <f t="shared" si="0"/>
        <v>-1.4649999999999941E-2</v>
      </c>
      <c r="G21">
        <f t="shared" si="1"/>
        <v>2.1462249999999828E-4</v>
      </c>
    </row>
    <row r="22" spans="1:7">
      <c r="A22" t="s">
        <v>23</v>
      </c>
      <c r="B22">
        <f>B1+B2</f>
        <v>0.19800000000000001</v>
      </c>
    </row>
    <row r="23" spans="1:7">
      <c r="A23" t="s">
        <v>24</v>
      </c>
      <c r="B23">
        <f>B21*B3/3/B22</f>
        <v>0.17500000000000002</v>
      </c>
    </row>
    <row r="24" spans="1:7">
      <c r="A24" t="s">
        <v>25</v>
      </c>
      <c r="B24">
        <f>B18/B21</f>
        <v>5.0505050505050501E-3</v>
      </c>
    </row>
    <row r="25" spans="1:7">
      <c r="A25" t="s">
        <v>26</v>
      </c>
      <c r="B25">
        <f>B16/B3</f>
        <v>1.4285714285714288E-3</v>
      </c>
    </row>
    <row r="26" spans="1:7">
      <c r="A26" t="s">
        <v>27</v>
      </c>
      <c r="B26">
        <f>B19/B22</f>
        <v>5.0505050505050501E-3</v>
      </c>
    </row>
    <row r="27" spans="1:7">
      <c r="A27" t="s">
        <v>28</v>
      </c>
      <c r="B27">
        <f>B20+B17</f>
        <v>2.5176767676767676E-3</v>
      </c>
    </row>
    <row r="28" spans="1:7">
      <c r="A28" t="s">
        <v>29</v>
      </c>
      <c r="B28">
        <f>B27/B10</f>
        <v>1.4637655626027717E-2</v>
      </c>
    </row>
    <row r="29" spans="1:7">
      <c r="A29" t="s">
        <v>30</v>
      </c>
      <c r="B29">
        <f>B7/B6</f>
        <v>2.2472649052590198E-3</v>
      </c>
    </row>
    <row r="30" spans="1:7">
      <c r="A30" t="s">
        <v>32</v>
      </c>
      <c r="B30">
        <f>B31/B5</f>
        <v>1.0822510822510823E-3</v>
      </c>
    </row>
    <row r="31" spans="1:7">
      <c r="A31" t="s">
        <v>33</v>
      </c>
      <c r="B31">
        <f>0.25/1000</f>
        <v>2.5000000000000001E-4</v>
      </c>
    </row>
    <row r="32" spans="1:7">
      <c r="A32" t="s">
        <v>31</v>
      </c>
      <c r="B32">
        <f>B30+B28+2*B29</f>
        <v>2.0214436518796838E-2</v>
      </c>
    </row>
    <row r="33" spans="1:2">
      <c r="A33" t="s">
        <v>34</v>
      </c>
      <c r="B33">
        <f>B5*B10^2</f>
        <v>6.8339040000000018E-3</v>
      </c>
    </row>
    <row r="34" spans="1:2">
      <c r="A34" t="s">
        <v>36</v>
      </c>
      <c r="B34">
        <f>B30+2*B28</f>
        <v>3.0357562334306518E-2</v>
      </c>
    </row>
    <row r="35" spans="1:2">
      <c r="A35" t="s">
        <v>35</v>
      </c>
      <c r="B35">
        <f>B34*B33</f>
        <v>2.0746066666666669E-4</v>
      </c>
    </row>
    <row r="36" spans="1:2">
      <c r="A36" t="s">
        <v>37</v>
      </c>
      <c r="B36">
        <f>B32*B11</f>
        <v>2.0243603574168E-4</v>
      </c>
    </row>
    <row r="37" spans="1:2">
      <c r="A37" t="s">
        <v>38</v>
      </c>
      <c r="B37">
        <f>B36+B35</f>
        <v>4.0989670240834669E-4</v>
      </c>
    </row>
    <row r="39" spans="1:2">
      <c r="A39" t="s">
        <v>11</v>
      </c>
      <c r="B39">
        <f>1/B10 * (2*PI()/B6)^2 * (B10^2 +1/72*(3*B1^2+3*B2^2+4*B3^2+8*B1*B2*B3^2/(B1+B2)^2))</f>
        <v>9.1798388567643645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47F2D-AF31-4319-A209-F5D816E2CA17}">
  <dimension ref="A1:G21"/>
  <sheetViews>
    <sheetView tabSelected="1" workbookViewId="0">
      <selection activeCell="C1" sqref="C1"/>
    </sheetView>
  </sheetViews>
  <sheetFormatPr defaultRowHeight="18.75"/>
  <cols>
    <col min="1" max="1" width="12.75" bestFit="1" customWidth="1"/>
  </cols>
  <sheetData>
    <row r="1" spans="1:7">
      <c r="A1" t="s">
        <v>0</v>
      </c>
      <c r="B1">
        <v>3.6999999999999998E-2</v>
      </c>
      <c r="E1" t="s">
        <v>6</v>
      </c>
      <c r="F1" t="s">
        <v>8</v>
      </c>
      <c r="G1" t="s">
        <v>9</v>
      </c>
    </row>
    <row r="2" spans="1:7">
      <c r="A2" t="s">
        <v>1</v>
      </c>
      <c r="B2">
        <v>0.25800000000000001</v>
      </c>
      <c r="D2">
        <v>1</v>
      </c>
      <c r="E2">
        <v>1.04</v>
      </c>
      <c r="F2">
        <f>E2-$B$6</f>
        <v>-1.6100000000000225E-2</v>
      </c>
      <c r="G2">
        <f>F2*F2</f>
        <v>2.5921000000000727E-4</v>
      </c>
    </row>
    <row r="3" spans="1:7">
      <c r="A3" t="s">
        <v>2</v>
      </c>
      <c r="B3">
        <v>0.35199999999999998</v>
      </c>
      <c r="D3">
        <v>2</v>
      </c>
      <c r="E3">
        <v>1.0569999999999999</v>
      </c>
      <c r="F3">
        <f t="shared" ref="F3:F21" si="0">E3-$B$6</f>
        <v>8.9999999999967883E-4</v>
      </c>
      <c r="G3">
        <f t="shared" ref="G3:G21" si="1">F3*F3</f>
        <v>8.0999999999942187E-7</v>
      </c>
    </row>
    <row r="4" spans="1:7">
      <c r="A4" t="s">
        <v>3</v>
      </c>
      <c r="B4">
        <v>1.2999999999999999E-2</v>
      </c>
      <c r="D4">
        <v>3</v>
      </c>
      <c r="E4">
        <v>1.0680000000000001</v>
      </c>
      <c r="F4">
        <f t="shared" si="0"/>
        <v>1.18999999999998E-2</v>
      </c>
      <c r="G4">
        <f t="shared" si="1"/>
        <v>1.4160999999999522E-4</v>
      </c>
    </row>
    <row r="5" spans="1:7">
      <c r="A5" t="s">
        <v>4</v>
      </c>
      <c r="B5">
        <v>0.35249999999999998</v>
      </c>
      <c r="D5">
        <v>4</v>
      </c>
      <c r="E5">
        <v>1.071</v>
      </c>
      <c r="F5">
        <f t="shared" si="0"/>
        <v>1.4899999999999691E-2</v>
      </c>
      <c r="G5">
        <f t="shared" si="1"/>
        <v>2.2200999999999081E-4</v>
      </c>
    </row>
    <row r="6" spans="1:7">
      <c r="A6" t="s">
        <v>5</v>
      </c>
      <c r="B6" s="1">
        <f>AVERAGE(E2:E21)</f>
        <v>1.0561000000000003</v>
      </c>
      <c r="D6">
        <v>5</v>
      </c>
      <c r="E6">
        <v>1.0680000000000001</v>
      </c>
      <c r="F6">
        <f t="shared" si="0"/>
        <v>1.18999999999998E-2</v>
      </c>
      <c r="G6">
        <f t="shared" si="1"/>
        <v>1.4160999999999522E-4</v>
      </c>
    </row>
    <row r="7" spans="1:7">
      <c r="A7" t="s">
        <v>7</v>
      </c>
      <c r="B7">
        <f>SQRT(SUM(G2:G21)/COUNT(G2:G21)/(COUNT(G2:G21)-1))</f>
        <v>2.737555575018672E-3</v>
      </c>
      <c r="D7">
        <v>6</v>
      </c>
      <c r="E7">
        <v>1.0569999999999999</v>
      </c>
      <c r="F7">
        <f t="shared" si="0"/>
        <v>8.9999999999967883E-4</v>
      </c>
      <c r="G7">
        <f t="shared" si="1"/>
        <v>8.0999999999942187E-7</v>
      </c>
    </row>
    <row r="8" spans="1:7">
      <c r="A8" t="s">
        <v>10</v>
      </c>
      <c r="B8">
        <f>B5 / 72 * (3 * B1^2 + 3 * B2^2 + 4 * B3^2 + 8*B1*B2*B3^2/(B1+B2)^2)</f>
        <v>3.9565473034676325E-3</v>
      </c>
      <c r="D8">
        <v>7</v>
      </c>
      <c r="E8">
        <v>1.0620000000000001</v>
      </c>
      <c r="F8">
        <f t="shared" si="0"/>
        <v>5.8999999999997943E-3</v>
      </c>
      <c r="G8">
        <f t="shared" si="1"/>
        <v>3.4809999999997575E-5</v>
      </c>
    </row>
    <row r="9" spans="1:7">
      <c r="A9" t="s">
        <v>11</v>
      </c>
      <c r="B9">
        <v>9.8000000000000007</v>
      </c>
      <c r="D9">
        <v>8</v>
      </c>
      <c r="E9">
        <v>1.0589999999999999</v>
      </c>
      <c r="F9">
        <f t="shared" si="0"/>
        <v>2.8999999999996806E-3</v>
      </c>
      <c r="G9">
        <f t="shared" si="1"/>
        <v>8.4099999999981475E-6</v>
      </c>
    </row>
    <row r="10" spans="1:7">
      <c r="A10" t="s">
        <v>12</v>
      </c>
      <c r="B10">
        <f>(B1+2*B2)*B3/3/(B1+B2)-B4</f>
        <v>0.20695028248587571</v>
      </c>
      <c r="D10">
        <v>9</v>
      </c>
      <c r="E10">
        <v>1.0660000000000001</v>
      </c>
      <c r="F10">
        <f t="shared" si="0"/>
        <v>9.8999999999997979E-3</v>
      </c>
      <c r="G10">
        <f t="shared" si="1"/>
        <v>9.8009999999995994E-5</v>
      </c>
    </row>
    <row r="11" spans="1:7">
      <c r="A11" t="s">
        <v>13</v>
      </c>
      <c r="B11">
        <f>B5*B9*B10*(B6/2/PI())^2</f>
        <v>2.0197683807911732E-2</v>
      </c>
      <c r="D11">
        <v>10</v>
      </c>
      <c r="E11">
        <v>1.0740000000000001</v>
      </c>
      <c r="F11">
        <f t="shared" si="0"/>
        <v>1.7899999999999805E-2</v>
      </c>
      <c r="G11">
        <f t="shared" si="1"/>
        <v>3.2040999999999304E-4</v>
      </c>
    </row>
    <row r="12" spans="1:7">
      <c r="A12" t="s">
        <v>14</v>
      </c>
      <c r="B12">
        <f>B11 - B5*B10^2</f>
        <v>5.1006659620149598E-3</v>
      </c>
      <c r="D12">
        <v>11</v>
      </c>
      <c r="E12">
        <v>1.0409999999999999</v>
      </c>
      <c r="F12">
        <f t="shared" si="0"/>
        <v>-1.5100000000000335E-2</v>
      </c>
      <c r="G12">
        <f t="shared" si="1"/>
        <v>2.2801000000001012E-4</v>
      </c>
    </row>
    <row r="13" spans="1:7">
      <c r="D13">
        <v>12</v>
      </c>
      <c r="E13">
        <v>1.05</v>
      </c>
      <c r="F13">
        <f t="shared" si="0"/>
        <v>-6.1000000000002164E-3</v>
      </c>
      <c r="G13">
        <f t="shared" si="1"/>
        <v>3.7210000000002641E-5</v>
      </c>
    </row>
    <row r="14" spans="1:7">
      <c r="A14" t="s">
        <v>11</v>
      </c>
      <c r="B14">
        <f>1/B10 * (2*PI()/B6)^2 * (B10^2 +1/72*(3*B1^2+3*B2^2+4*B3^2+8*B1*B2*B3^2/(B1+B2)^2))</f>
        <v>9.2448688790062281</v>
      </c>
      <c r="D14">
        <v>13</v>
      </c>
      <c r="E14">
        <v>1.046</v>
      </c>
      <c r="F14">
        <f t="shared" si="0"/>
        <v>-1.010000000000022E-2</v>
      </c>
      <c r="G14">
        <f t="shared" si="1"/>
        <v>1.0201000000000444E-4</v>
      </c>
    </row>
    <row r="15" spans="1:7">
      <c r="D15">
        <v>14</v>
      </c>
      <c r="E15">
        <v>1.0620000000000001</v>
      </c>
      <c r="F15">
        <f t="shared" si="0"/>
        <v>5.8999999999997943E-3</v>
      </c>
      <c r="G15">
        <f t="shared" si="1"/>
        <v>3.4809999999997575E-5</v>
      </c>
    </row>
    <row r="16" spans="1:7">
      <c r="D16">
        <v>15</v>
      </c>
      <c r="E16">
        <v>1.05</v>
      </c>
      <c r="F16">
        <f t="shared" si="0"/>
        <v>-6.1000000000002164E-3</v>
      </c>
      <c r="G16">
        <f t="shared" si="1"/>
        <v>3.7210000000002641E-5</v>
      </c>
    </row>
    <row r="17" spans="4:7">
      <c r="D17">
        <v>16</v>
      </c>
      <c r="E17">
        <v>1.0369999999999999</v>
      </c>
      <c r="F17">
        <f t="shared" si="0"/>
        <v>-1.9100000000000339E-2</v>
      </c>
      <c r="G17">
        <f t="shared" si="1"/>
        <v>3.6481000000001293E-4</v>
      </c>
    </row>
    <row r="18" spans="4:7">
      <c r="D18">
        <v>17</v>
      </c>
      <c r="E18">
        <v>1.0409999999999999</v>
      </c>
      <c r="F18">
        <f t="shared" si="0"/>
        <v>-1.5100000000000335E-2</v>
      </c>
      <c r="G18">
        <f t="shared" si="1"/>
        <v>2.2801000000001012E-4</v>
      </c>
    </row>
    <row r="19" spans="4:7">
      <c r="D19">
        <v>18</v>
      </c>
      <c r="E19">
        <v>1.0669999999999999</v>
      </c>
      <c r="F19">
        <f t="shared" si="0"/>
        <v>1.0899999999999688E-2</v>
      </c>
      <c r="G19">
        <f t="shared" si="1"/>
        <v>1.1880999999999319E-4</v>
      </c>
    </row>
    <row r="20" spans="4:7">
      <c r="D20">
        <v>19</v>
      </c>
      <c r="E20">
        <v>1.038</v>
      </c>
      <c r="F20">
        <f t="shared" si="0"/>
        <v>-1.8100000000000227E-2</v>
      </c>
      <c r="G20">
        <f t="shared" si="1"/>
        <v>3.2761000000000823E-4</v>
      </c>
    </row>
    <row r="21" spans="4:7">
      <c r="D21">
        <v>20</v>
      </c>
      <c r="E21">
        <v>1.0680000000000001</v>
      </c>
      <c r="F21">
        <f t="shared" si="0"/>
        <v>1.18999999999998E-2</v>
      </c>
      <c r="G21">
        <f t="shared" si="1"/>
        <v>1.4160999999999522E-4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長方形</vt:lpstr>
      <vt:lpstr>台形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井居和大</dc:creator>
  <cp:lastModifiedBy>和大 井居</cp:lastModifiedBy>
  <dcterms:created xsi:type="dcterms:W3CDTF">2015-06-05T18:19:34Z</dcterms:created>
  <dcterms:modified xsi:type="dcterms:W3CDTF">2025-09-15T10:41:59Z</dcterms:modified>
</cp:coreProperties>
</file>