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gawarinkyuu/Desktop/ファイル提出/"/>
    </mc:Choice>
  </mc:AlternateContent>
  <xr:revisionPtr revIDLastSave="0" documentId="13_ncr:1_{F8822474-8C57-1843-B71D-20FE688013AD}" xr6:coauthVersionLast="47" xr6:coauthVersionMax="47" xr10:uidLastSave="{00000000-0000-0000-0000-000000000000}"/>
  <bookViews>
    <workbookView xWindow="4440" yWindow="760" windowWidth="24960" windowHeight="16760" xr2:uid="{DDD74B7F-C980-3B48-BA50-A8188736EA6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K29" i="1"/>
  <c r="P9" i="1"/>
  <c r="E6" i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6" i="1"/>
  <c r="J6" i="1" s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6" i="1"/>
</calcChain>
</file>

<file path=xl/sharedStrings.xml><?xml version="1.0" encoding="utf-8"?>
<sst xmlns="http://schemas.openxmlformats.org/spreadsheetml/2006/main" count="58" uniqueCount="48">
  <si>
    <t>V</t>
    <phoneticPr fontId="1"/>
  </si>
  <si>
    <t>タングステン</t>
    <phoneticPr fontId="1"/>
  </si>
  <si>
    <t>無負荷抵抗</t>
    <rPh sb="0" eb="5">
      <t>ムフカテイ</t>
    </rPh>
    <phoneticPr fontId="1"/>
  </si>
  <si>
    <t>旭光電気工業</t>
    <rPh sb="1" eb="2">
      <t>ヒカリ</t>
    </rPh>
    <rPh sb="2" eb="6">
      <t>デンキ</t>
    </rPh>
    <phoneticPr fontId="1"/>
  </si>
  <si>
    <t>100V</t>
    <phoneticPr fontId="1"/>
  </si>
  <si>
    <t>95W</t>
    <phoneticPr fontId="1"/>
  </si>
  <si>
    <t>yamabishi</t>
    <phoneticPr fontId="1"/>
  </si>
  <si>
    <t>YOKOGAWA</t>
    <phoneticPr fontId="1"/>
  </si>
  <si>
    <t>86BA0358</t>
    <phoneticPr fontId="1"/>
  </si>
  <si>
    <t>電圧計</t>
    <rPh sb="0" eb="3">
      <t>デンアテゥ</t>
    </rPh>
    <phoneticPr fontId="1"/>
  </si>
  <si>
    <t>電球</t>
    <rPh sb="0" eb="2">
      <t>デンキュウ</t>
    </rPh>
    <phoneticPr fontId="1"/>
  </si>
  <si>
    <t>マルチメーター</t>
    <phoneticPr fontId="1"/>
  </si>
  <si>
    <t>TKQC026</t>
    <phoneticPr fontId="1"/>
  </si>
  <si>
    <t>YOKOGAW</t>
    <phoneticPr fontId="1"/>
  </si>
  <si>
    <t>タングステン温度[T]</t>
    <phoneticPr fontId="1"/>
  </si>
  <si>
    <t>P[w]</t>
    <phoneticPr fontId="1"/>
  </si>
  <si>
    <t>R[Ω]</t>
    <phoneticPr fontId="1"/>
  </si>
  <si>
    <t>I[A]</t>
    <phoneticPr fontId="1"/>
  </si>
  <si>
    <r>
      <t>固有抵抗値[</t>
    </r>
    <r>
      <rPr>
        <sz val="12"/>
        <color theme="1"/>
        <rFont val="Apple Color Emoji"/>
        <family val="2"/>
      </rPr>
      <t>✖️</t>
    </r>
    <r>
      <rPr>
        <sz val="12"/>
        <color theme="1"/>
        <rFont val="游ゴシック"/>
        <family val="2"/>
      </rPr>
      <t>10^-8Ωm]</t>
    </r>
    <rPh sb="0" eb="5">
      <t>コユウ</t>
    </rPh>
    <phoneticPr fontId="1"/>
  </si>
  <si>
    <t>スライダック</t>
    <phoneticPr fontId="1"/>
  </si>
  <si>
    <t>考察</t>
    <rPh sb="0" eb="2">
      <t>コウサテゥ</t>
    </rPh>
    <phoneticPr fontId="1"/>
  </si>
  <si>
    <t>他のもの</t>
    <rPh sb="0" eb="1">
      <t>ホカ</t>
    </rPh>
    <phoneticPr fontId="1"/>
  </si>
  <si>
    <t>結論</t>
    <rPh sb="0" eb="2">
      <t>ケツロn</t>
    </rPh>
    <phoneticPr fontId="1"/>
  </si>
  <si>
    <t>全体的</t>
    <rPh sb="0" eb="3">
      <t>ゼンタイ</t>
    </rPh>
    <phoneticPr fontId="1"/>
  </si>
  <si>
    <t>点が外れている理由</t>
    <rPh sb="0" eb="1">
      <t xml:space="preserve">テン </t>
    </rPh>
    <phoneticPr fontId="1"/>
  </si>
  <si>
    <t>１ページ</t>
    <phoneticPr fontId="1"/>
  </si>
  <si>
    <t>モデル名</t>
    <phoneticPr fontId="1"/>
  </si>
  <si>
    <t>シリアルNO</t>
    <phoneticPr fontId="1"/>
  </si>
  <si>
    <t>会社名</t>
    <rPh sb="0" eb="3">
      <t>カイセィア</t>
    </rPh>
    <phoneticPr fontId="1"/>
  </si>
  <si>
    <t>TY520</t>
    <phoneticPr fontId="1"/>
  </si>
  <si>
    <t>S-130-20</t>
    <phoneticPr fontId="1"/>
  </si>
  <si>
    <t>器具</t>
    <rPh sb="0" eb="2">
      <t xml:space="preserve">キグ </t>
    </rPh>
    <phoneticPr fontId="1"/>
  </si>
  <si>
    <t>グラフ</t>
    <phoneticPr fontId="1"/>
  </si>
  <si>
    <t>n</t>
    <phoneticPr fontId="1"/>
  </si>
  <si>
    <t>log_10{A}</t>
    <phoneticPr fontId="1"/>
  </si>
  <si>
    <t>両対数グラフ</t>
    <rPh sb="0" eb="3">
      <t>リョウ</t>
    </rPh>
    <phoneticPr fontId="1"/>
  </si>
  <si>
    <t>通常</t>
    <rPh sb="0" eb="2">
      <t>ツウジョウ</t>
    </rPh>
    <phoneticPr fontId="1"/>
  </si>
  <si>
    <t>a</t>
    <phoneticPr fontId="1"/>
  </si>
  <si>
    <t>元に戻す</t>
    <rPh sb="0" eb="1">
      <t>モトニ</t>
    </rPh>
    <phoneticPr fontId="1"/>
  </si>
  <si>
    <t>e[V]</t>
    <phoneticPr fontId="1"/>
  </si>
  <si>
    <t>タングステン温度T[K]</t>
    <phoneticPr fontId="1"/>
  </si>
  <si>
    <t>最小二乗法</t>
    <rPh sb="0" eb="5">
      <t>サイセィオ</t>
    </rPh>
    <phoneticPr fontId="1"/>
  </si>
  <si>
    <t>0.68±0.52</t>
    <phoneticPr fontId="1"/>
  </si>
  <si>
    <t>両対数グラフからの読み取り</t>
    <rPh sb="0" eb="3">
      <t>リョウ</t>
    </rPh>
    <phoneticPr fontId="1"/>
  </si>
  <si>
    <t>求め方/値</t>
    <rPh sb="0" eb="1">
      <t>モトメ</t>
    </rPh>
    <rPh sb="4" eb="5">
      <t>アタイ</t>
    </rPh>
    <phoneticPr fontId="1"/>
  </si>
  <si>
    <t>0.062±0.002</t>
    <phoneticPr fontId="1"/>
  </si>
  <si>
    <t>loga</t>
    <phoneticPr fontId="1"/>
  </si>
  <si>
    <t>最確値</t>
    <rPh sb="0" eb="2">
      <t>サイカク</t>
    </rPh>
    <rPh sb="2" eb="3">
      <t>アタイ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</si>
</sst>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Apple Color Emoji"/>
      <family val="2"/>
    </font>
    <font>
      <sz val="12"/>
      <color theme="1"/>
      <name val="游ゴシック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e[V]</a:t>
            </a:r>
          </a:p>
        </c:rich>
      </c:tx>
      <c:layout>
        <c:manualLayout>
          <c:xMode val="edge"/>
          <c:yMode val="edge"/>
          <c:x val="0.4930199324280749"/>
          <c:y val="0.910204854304928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0712380776068037"/>
          <c:y val="5.4093971340597867E-2"/>
          <c:w val="0.84267372684280684"/>
          <c:h val="0.7687875849981160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I[A]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31337005313176663"/>
                  <c:y val="-1.09551918703078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ja-JP" sz="2400" baseline="0"/>
                      <a:t>y = 0.0825x</a:t>
                    </a:r>
                    <a:r>
                      <a:rPr lang="en-US" altLang="ja-JP" sz="2400" baseline="30000"/>
                      <a:t>0.5332</a:t>
                    </a:r>
                    <a:endParaRPr lang="en-US" altLang="ja-JP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ja-JP"/>
                </a:p>
              </c:txPr>
            </c:trendlineLbl>
          </c:trendline>
          <c:xVal>
            <c:numRef>
              <c:f>Sheet1!$F$12:$F$25</c:f>
              <c:numCache>
                <c:formatCode>General</c:formatCode>
                <c:ptCount val="14"/>
                <c:pt idx="0">
                  <c:v>35</c:v>
                </c:pt>
                <c:pt idx="1">
                  <c:v>40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  <c:pt idx="5">
                  <c:v>60</c:v>
                </c:pt>
                <c:pt idx="6">
                  <c:v>65</c:v>
                </c:pt>
                <c:pt idx="7">
                  <c:v>70</c:v>
                </c:pt>
                <c:pt idx="8">
                  <c:v>75</c:v>
                </c:pt>
                <c:pt idx="9">
                  <c:v>80</c:v>
                </c:pt>
                <c:pt idx="10">
                  <c:v>85</c:v>
                </c:pt>
                <c:pt idx="11">
                  <c:v>90</c:v>
                </c:pt>
                <c:pt idx="12">
                  <c:v>95</c:v>
                </c:pt>
                <c:pt idx="13">
                  <c:v>100</c:v>
                </c:pt>
              </c:numCache>
            </c:numRef>
          </c:xVal>
          <c:yVal>
            <c:numRef>
              <c:f>Sheet1!$G$12:$G$25</c:f>
              <c:numCache>
                <c:formatCode>General</c:formatCode>
                <c:ptCount val="14"/>
                <c:pt idx="0">
                  <c:v>0.55100000000000005</c:v>
                </c:pt>
                <c:pt idx="1">
                  <c:v>0.59099999999999997</c:v>
                </c:pt>
                <c:pt idx="2">
                  <c:v>0.628</c:v>
                </c:pt>
                <c:pt idx="3">
                  <c:v>0.66300000000000003</c:v>
                </c:pt>
                <c:pt idx="4">
                  <c:v>0.69699999999999995</c:v>
                </c:pt>
                <c:pt idx="5">
                  <c:v>0.73099999999999998</c:v>
                </c:pt>
                <c:pt idx="6">
                  <c:v>0.76400000000000001</c:v>
                </c:pt>
                <c:pt idx="7">
                  <c:v>0.79600000000000004</c:v>
                </c:pt>
                <c:pt idx="8">
                  <c:v>0.82399999999999995</c:v>
                </c:pt>
                <c:pt idx="9">
                  <c:v>0.85299999999999998</c:v>
                </c:pt>
                <c:pt idx="10">
                  <c:v>0.88600000000000001</c:v>
                </c:pt>
                <c:pt idx="11">
                  <c:v>0.90900000000000003</c:v>
                </c:pt>
                <c:pt idx="12">
                  <c:v>0.93600000000000005</c:v>
                </c:pt>
                <c:pt idx="13">
                  <c:v>0.96199999999999997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DF-AD4D-A779-6F8EA680E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800672"/>
        <c:axId val="1246834208"/>
      </c:scatterChart>
      <c:valAx>
        <c:axId val="124680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6834208"/>
        <c:crosses val="autoZero"/>
        <c:crossBetween val="midCat"/>
      </c:valAx>
      <c:valAx>
        <c:axId val="124683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800"/>
                  <a:t>I[A]</a:t>
                </a:r>
                <a:endParaRPr lang="ja-JP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680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349951271210199E-2"/>
          <c:y val="6.1761214421791617E-2"/>
          <c:w val="0.86780164480596189"/>
          <c:h val="0.7868296883821496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Sheet1!$O$33</c:f>
              <c:strCache>
                <c:ptCount val="1"/>
                <c:pt idx="0">
                  <c:v>タングステン温度T[K]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8.8041548327867897E-2"/>
                  <c:y val="0.4654943856569781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ja-JP" sz="6000" baseline="0"/>
                      <a:t>y = 318.11x</a:t>
                    </a:r>
                    <a:r>
                      <a:rPr lang="en-US" altLang="ja-JP" sz="6000" baseline="30000"/>
                      <a:t>0.4346</a:t>
                    </a:r>
                    <a:endParaRPr lang="en-US" altLang="ja-JP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ja-JP"/>
                </a:p>
              </c:txPr>
            </c:trendlineLbl>
          </c:trendline>
          <c:xVal>
            <c:numRef>
              <c:f>Sheet1!$N$34:$N$53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Sheet1!$O$34:$O$53</c:f>
              <c:numCache>
                <c:formatCode>General</c:formatCode>
                <c:ptCount val="20"/>
                <c:pt idx="0">
                  <c:v>590</c:v>
                </c:pt>
                <c:pt idx="1">
                  <c:v>870</c:v>
                </c:pt>
                <c:pt idx="2">
                  <c:v>1080</c:v>
                </c:pt>
                <c:pt idx="3">
                  <c:v>1210</c:v>
                </c:pt>
                <c:pt idx="4">
                  <c:v>1350</c:v>
                </c:pt>
                <c:pt idx="5">
                  <c:v>1380</c:v>
                </c:pt>
                <c:pt idx="6">
                  <c:v>1540</c:v>
                </c:pt>
                <c:pt idx="7">
                  <c:v>1580</c:v>
                </c:pt>
                <c:pt idx="8">
                  <c:v>1670</c:v>
                </c:pt>
                <c:pt idx="9">
                  <c:v>1750</c:v>
                </c:pt>
                <c:pt idx="10">
                  <c:v>1870</c:v>
                </c:pt>
                <c:pt idx="11">
                  <c:v>1900</c:v>
                </c:pt>
                <c:pt idx="12">
                  <c:v>1950</c:v>
                </c:pt>
                <c:pt idx="13">
                  <c:v>2000</c:v>
                </c:pt>
                <c:pt idx="14">
                  <c:v>2030</c:v>
                </c:pt>
                <c:pt idx="15">
                  <c:v>2080</c:v>
                </c:pt>
                <c:pt idx="16">
                  <c:v>2160</c:v>
                </c:pt>
                <c:pt idx="17">
                  <c:v>2220</c:v>
                </c:pt>
                <c:pt idx="18">
                  <c:v>2270</c:v>
                </c:pt>
                <c:pt idx="19">
                  <c:v>2320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E0-844B-9E87-D29495DA3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495424"/>
        <c:axId val="144507872"/>
      </c:scatterChart>
      <c:valAx>
        <c:axId val="69349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/>
                  <a:t>電圧</a:t>
                </a:r>
                <a:r>
                  <a:rPr lang="en-US" altLang="ja-JP" sz="1800"/>
                  <a:t>e[V]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5008380395024866"/>
              <c:y val="0.896856691665924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507872"/>
        <c:crosses val="autoZero"/>
        <c:crossBetween val="midCat"/>
      </c:valAx>
      <c:valAx>
        <c:axId val="14450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800"/>
                  <a:t>タングステン温度</a:t>
                </a:r>
                <a:r>
                  <a:rPr lang="en-US" altLang="ja-JP" sz="1800"/>
                  <a:t>T[K]</a:t>
                </a:r>
                <a:endParaRPr lang="ja-JP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349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T[K]</a:t>
            </a:r>
          </a:p>
        </c:rich>
      </c:tx>
      <c:layout>
        <c:manualLayout>
          <c:xMode val="edge"/>
          <c:yMode val="edge"/>
          <c:x val="0.4930199324280749"/>
          <c:y val="0.910204854304928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0712380776068037"/>
          <c:y val="5.4093971340597867E-2"/>
          <c:w val="0.84267372684280684"/>
          <c:h val="0.7687875849981160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I[A]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942706891832045"/>
                  <c:y val="-4.42431143046806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ja-JP" sz="2800" baseline="0"/>
                      <a:t>y = 0.1019x</a:t>
                    </a:r>
                    <a:r>
                      <a:rPr lang="en-US" altLang="ja-JP" sz="2800" baseline="30000"/>
                      <a:t>0.4814</a:t>
                    </a:r>
                    <a:endParaRPr lang="en-US" altLang="ja-JP" sz="28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ja-JP"/>
                </a:p>
              </c:txPr>
            </c:trendlineLbl>
          </c:trendline>
          <c:xVal>
            <c:numRef>
              <c:f>Sheet1!$F$6:$F$25</c:f>
              <c:numCache>
                <c:formatCode>General</c:formatCode>
                <c:ptCount val="2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Sheet1!$G$6:$G$25</c:f>
              <c:numCache>
                <c:formatCode>General</c:formatCode>
                <c:ptCount val="20"/>
                <c:pt idx="0">
                  <c:v>0.246</c:v>
                </c:pt>
                <c:pt idx="1">
                  <c:v>0.30599999999999999</c:v>
                </c:pt>
                <c:pt idx="2">
                  <c:v>0.36</c:v>
                </c:pt>
                <c:pt idx="3">
                  <c:v>0.41299999999999998</c:v>
                </c:pt>
                <c:pt idx="4">
                  <c:v>0.45900000000000002</c:v>
                </c:pt>
                <c:pt idx="5">
                  <c:v>0.504</c:v>
                </c:pt>
                <c:pt idx="6">
                  <c:v>0.55100000000000005</c:v>
                </c:pt>
                <c:pt idx="7">
                  <c:v>0.59099999999999997</c:v>
                </c:pt>
                <c:pt idx="8">
                  <c:v>0.628</c:v>
                </c:pt>
                <c:pt idx="9">
                  <c:v>0.66300000000000003</c:v>
                </c:pt>
                <c:pt idx="10">
                  <c:v>0.69699999999999995</c:v>
                </c:pt>
                <c:pt idx="11">
                  <c:v>0.73099999999999998</c:v>
                </c:pt>
                <c:pt idx="12">
                  <c:v>0.76400000000000001</c:v>
                </c:pt>
                <c:pt idx="13">
                  <c:v>0.79600000000000004</c:v>
                </c:pt>
                <c:pt idx="14">
                  <c:v>0.82399999999999995</c:v>
                </c:pt>
                <c:pt idx="15">
                  <c:v>0.85299999999999998</c:v>
                </c:pt>
                <c:pt idx="16">
                  <c:v>0.88600000000000001</c:v>
                </c:pt>
                <c:pt idx="17">
                  <c:v>0.90900000000000003</c:v>
                </c:pt>
                <c:pt idx="18">
                  <c:v>0.93600000000000005</c:v>
                </c:pt>
                <c:pt idx="19">
                  <c:v>0.96199999999999997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34-C040-AE92-D33AD891F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800672"/>
        <c:axId val="1246834208"/>
      </c:scatterChart>
      <c:valAx>
        <c:axId val="124680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6834208"/>
        <c:crosses val="autoZero"/>
        <c:crossBetween val="midCat"/>
      </c:valAx>
      <c:valAx>
        <c:axId val="124683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800"/>
                  <a:t>e[V]</a:t>
                </a:r>
                <a:endParaRPr lang="ja-JP" alt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680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483507</xdr:colOff>
      <xdr:row>28</xdr:row>
      <xdr:rowOff>120951</xdr:rowOff>
    </xdr:from>
    <xdr:to>
      <xdr:col>9</xdr:col>
      <xdr:colOff>1164167</xdr:colOff>
      <xdr:row>42</xdr:row>
      <xdr:rowOff>102204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8A293AD-397C-602A-76F8-277850A64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514048</xdr:colOff>
      <xdr:row>26</xdr:row>
      <xdr:rowOff>30238</xdr:rowOff>
    </xdr:from>
    <xdr:to>
      <xdr:col>24</xdr:col>
      <xdr:colOff>685800</xdr:colOff>
      <xdr:row>43</xdr:row>
      <xdr:rowOff>165100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D8F3335-44DF-29E9-C760-BD233A976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292100</xdr:colOff>
      <xdr:row>6</xdr:row>
      <xdr:rowOff>12700</xdr:rowOff>
    </xdr:from>
    <xdr:to>
      <xdr:col>5</xdr:col>
      <xdr:colOff>787703</xdr:colOff>
      <xdr:row>18</xdr:row>
      <xdr:rowOff>232228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C4EEA50-CDFF-6F42-ABBB-06C480D74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84DB-85DD-A945-997B-63E1CEA5501A}">
  <dimension ref="D4:W53"/>
  <sheetViews>
    <sheetView tabSelected="1" zoomScale="82" zoomScaleNormal="84" workbookViewId="0">
      <selection activeCell="Q28" sqref="Q28"/>
    </sheetView>
  </sheetViews>
  <sheetFormatPr baseColWidth="10" defaultRowHeight="20"/>
  <cols>
    <col min="10" max="10" width="20.85546875" customWidth="1"/>
    <col min="11" max="11" width="16.7109375" customWidth="1"/>
    <col min="13" max="13" width="12" customWidth="1"/>
    <col min="14" max="14" width="28.5703125" customWidth="1"/>
    <col min="15" max="15" width="18.140625" customWidth="1"/>
    <col min="16" max="16" width="12.28515625" customWidth="1"/>
    <col min="18" max="18" width="12.42578125" customWidth="1"/>
  </cols>
  <sheetData>
    <row r="4" spans="4:23">
      <c r="D4" t="s">
        <v>2</v>
      </c>
      <c r="F4" t="s">
        <v>1</v>
      </c>
    </row>
    <row r="5" spans="4:23" ht="24">
      <c r="D5">
        <v>7.7</v>
      </c>
      <c r="F5" s="1" t="s">
        <v>0</v>
      </c>
      <c r="G5" s="1" t="s">
        <v>17</v>
      </c>
      <c r="H5" s="1" t="s">
        <v>16</v>
      </c>
      <c r="I5" s="1" t="s">
        <v>15</v>
      </c>
      <c r="J5" s="1" t="s">
        <v>18</v>
      </c>
      <c r="K5" s="1" t="s">
        <v>14</v>
      </c>
      <c r="N5" t="s">
        <v>32</v>
      </c>
      <c r="O5" t="s">
        <v>33</v>
      </c>
      <c r="P5" t="s">
        <v>34</v>
      </c>
    </row>
    <row r="6" spans="4:23">
      <c r="E6">
        <f>0.01*F6^1.2</f>
        <v>6.8986483073060725E-2</v>
      </c>
      <c r="F6" s="1">
        <v>5</v>
      </c>
      <c r="G6" s="1">
        <v>0.246</v>
      </c>
      <c r="H6" s="1">
        <f>F6/G6</f>
        <v>20.325203252032519</v>
      </c>
      <c r="I6" s="1">
        <f>F6*G6</f>
        <v>1.23</v>
      </c>
      <c r="J6" s="1">
        <f>H6/7.7*5</f>
        <v>13.198183929891245</v>
      </c>
      <c r="K6" s="1">
        <v>590</v>
      </c>
      <c r="M6" s="1"/>
      <c r="N6" t="s">
        <v>35</v>
      </c>
      <c r="O6">
        <v>0.01</v>
      </c>
      <c r="P6">
        <v>0.08</v>
      </c>
    </row>
    <row r="7" spans="4:23">
      <c r="F7" s="1">
        <v>10</v>
      </c>
      <c r="G7" s="1">
        <v>0.30599999999999999</v>
      </c>
      <c r="H7" s="1">
        <f t="shared" ref="H7:H25" si="0">F7/G7</f>
        <v>32.679738562091501</v>
      </c>
      <c r="I7" s="1">
        <f t="shared" ref="I7:I25" si="1">F7*G7</f>
        <v>3.06</v>
      </c>
      <c r="J7" s="1">
        <f t="shared" ref="J7:J25" si="2">H7/7.7*5</f>
        <v>21.220609455903571</v>
      </c>
      <c r="K7" s="1">
        <v>870</v>
      </c>
      <c r="Q7">
        <f>10^-0.11</f>
        <v>0.77624711662869172</v>
      </c>
    </row>
    <row r="8" spans="4:23">
      <c r="F8" s="1">
        <v>15</v>
      </c>
      <c r="G8" s="1">
        <v>0.36</v>
      </c>
      <c r="H8" s="1">
        <f t="shared" si="0"/>
        <v>41.666666666666671</v>
      </c>
      <c r="I8" s="1">
        <f t="shared" si="1"/>
        <v>5.3999999999999995</v>
      </c>
      <c r="J8" s="1">
        <f t="shared" si="2"/>
        <v>27.056277056277057</v>
      </c>
      <c r="K8" s="1">
        <v>1080</v>
      </c>
      <c r="N8" t="s">
        <v>38</v>
      </c>
      <c r="O8" t="s">
        <v>33</v>
      </c>
      <c r="P8" t="s">
        <v>37</v>
      </c>
      <c r="T8" s="1"/>
      <c r="U8" s="1" t="s">
        <v>33</v>
      </c>
      <c r="V8" s="1" t="s">
        <v>46</v>
      </c>
      <c r="W8" s="1" t="s">
        <v>37</v>
      </c>
    </row>
    <row r="9" spans="4:23">
      <c r="F9" s="1">
        <v>20</v>
      </c>
      <c r="G9" s="1">
        <v>0.41299999999999998</v>
      </c>
      <c r="H9" s="1">
        <f t="shared" si="0"/>
        <v>48.426150121065376</v>
      </c>
      <c r="I9" s="1">
        <f t="shared" si="1"/>
        <v>8.26</v>
      </c>
      <c r="J9" s="1">
        <f>H9/7.7*5</f>
        <v>31.445552026665826</v>
      </c>
      <c r="K9" s="1">
        <v>1210</v>
      </c>
      <c r="N9" t="s">
        <v>36</v>
      </c>
      <c r="P9">
        <f>10^-0.08</f>
        <v>0.83176377110267097</v>
      </c>
      <c r="T9" s="1" t="s">
        <v>47</v>
      </c>
      <c r="U9" s="1">
        <v>0.68</v>
      </c>
      <c r="V9" s="1">
        <v>-1.2</v>
      </c>
      <c r="W9" s="1">
        <v>6.2E-2</v>
      </c>
    </row>
    <row r="10" spans="4:23">
      <c r="F10" s="1">
        <v>25</v>
      </c>
      <c r="G10" s="1">
        <v>0.45900000000000002</v>
      </c>
      <c r="H10" s="1">
        <f t="shared" si="0"/>
        <v>54.466230936819173</v>
      </c>
      <c r="I10" s="1">
        <f t="shared" si="1"/>
        <v>11.475</v>
      </c>
      <c r="J10" s="1">
        <f t="shared" si="2"/>
        <v>35.367682426505958</v>
      </c>
      <c r="K10" s="1">
        <v>1350</v>
      </c>
    </row>
    <row r="11" spans="4:23">
      <c r="F11" s="1">
        <v>30</v>
      </c>
      <c r="G11" s="1">
        <v>0.504</v>
      </c>
      <c r="H11" s="1">
        <f t="shared" si="0"/>
        <v>59.523809523809526</v>
      </c>
      <c r="I11" s="1">
        <f t="shared" si="1"/>
        <v>15.120000000000001</v>
      </c>
      <c r="J11" s="1">
        <f t="shared" si="2"/>
        <v>38.651824366110084</v>
      </c>
      <c r="K11" s="1">
        <v>1380</v>
      </c>
    </row>
    <row r="12" spans="4:23">
      <c r="F12" s="1">
        <v>35</v>
      </c>
      <c r="G12" s="1">
        <v>0.55100000000000005</v>
      </c>
      <c r="H12" s="1">
        <f t="shared" si="0"/>
        <v>63.520871143375672</v>
      </c>
      <c r="I12" s="1">
        <f t="shared" si="1"/>
        <v>19.285</v>
      </c>
      <c r="J12" s="1">
        <f t="shared" si="2"/>
        <v>41.247318924269919</v>
      </c>
      <c r="K12" s="1">
        <v>1540</v>
      </c>
      <c r="N12" s="1" t="s">
        <v>44</v>
      </c>
      <c r="O12" s="1" t="s">
        <v>33</v>
      </c>
      <c r="P12" s="1" t="s">
        <v>37</v>
      </c>
      <c r="S12" s="1"/>
      <c r="T12" s="1" t="s">
        <v>33</v>
      </c>
      <c r="U12" s="1" t="s">
        <v>46</v>
      </c>
      <c r="V12" s="1" t="s">
        <v>37</v>
      </c>
    </row>
    <row r="13" spans="4:23">
      <c r="F13" s="1">
        <v>40</v>
      </c>
      <c r="G13" s="1">
        <v>0.59099999999999997</v>
      </c>
      <c r="H13" s="1">
        <f t="shared" si="0"/>
        <v>67.681895093062607</v>
      </c>
      <c r="I13" s="1">
        <f t="shared" si="1"/>
        <v>23.64</v>
      </c>
      <c r="J13" s="1">
        <f t="shared" si="2"/>
        <v>43.94928252796273</v>
      </c>
      <c r="K13" s="1">
        <v>1580</v>
      </c>
      <c r="N13" s="1" t="s">
        <v>43</v>
      </c>
      <c r="O13" s="1" t="s">
        <v>42</v>
      </c>
      <c r="P13" s="1" t="s">
        <v>45</v>
      </c>
      <c r="S13" s="1" t="s">
        <v>47</v>
      </c>
      <c r="T13" s="1">
        <v>0.68</v>
      </c>
      <c r="U13" s="1">
        <v>-1.2</v>
      </c>
      <c r="V13" s="1">
        <v>6.2E-2</v>
      </c>
    </row>
    <row r="14" spans="4:23">
      <c r="F14" s="1">
        <v>45</v>
      </c>
      <c r="G14" s="1">
        <v>0.628</v>
      </c>
      <c r="H14" s="1">
        <f t="shared" si="0"/>
        <v>71.656050955414017</v>
      </c>
      <c r="I14" s="1">
        <f t="shared" si="1"/>
        <v>28.26</v>
      </c>
      <c r="J14" s="1">
        <f t="shared" si="2"/>
        <v>46.529903217801305</v>
      </c>
      <c r="K14" s="1">
        <v>1670</v>
      </c>
      <c r="N14" s="1" t="s">
        <v>41</v>
      </c>
      <c r="O14" s="1">
        <v>0.53</v>
      </c>
      <c r="P14" s="1">
        <v>8.2500000000000004E-2</v>
      </c>
    </row>
    <row r="15" spans="4:23">
      <c r="F15" s="1">
        <v>50</v>
      </c>
      <c r="G15" s="1">
        <v>0.66300000000000003</v>
      </c>
      <c r="H15" s="1">
        <f t="shared" si="0"/>
        <v>75.41478129713424</v>
      </c>
      <c r="I15" s="1">
        <f t="shared" si="1"/>
        <v>33.15</v>
      </c>
      <c r="J15" s="1">
        <f t="shared" si="2"/>
        <v>48.970637205931318</v>
      </c>
      <c r="K15" s="1">
        <v>1750</v>
      </c>
      <c r="P15" s="1"/>
    </row>
    <row r="16" spans="4:23">
      <c r="F16" s="1">
        <v>55</v>
      </c>
      <c r="G16" s="1">
        <v>0.69699999999999995</v>
      </c>
      <c r="H16" s="1">
        <f t="shared" si="0"/>
        <v>78.909612625538031</v>
      </c>
      <c r="I16" s="1">
        <f t="shared" si="1"/>
        <v>38.335000000000001</v>
      </c>
      <c r="J16" s="1">
        <f t="shared" si="2"/>
        <v>51.240008198401313</v>
      </c>
      <c r="K16" s="1">
        <v>1870</v>
      </c>
      <c r="N16" s="1" t="s">
        <v>10</v>
      </c>
      <c r="O16" s="1" t="s">
        <v>31</v>
      </c>
      <c r="P16" s="1" t="s">
        <v>19</v>
      </c>
      <c r="Q16" s="1" t="s">
        <v>9</v>
      </c>
      <c r="R16" s="1" t="s">
        <v>11</v>
      </c>
    </row>
    <row r="17" spans="6:18">
      <c r="F17" s="1">
        <v>60</v>
      </c>
      <c r="G17" s="1">
        <v>0.73099999999999998</v>
      </c>
      <c r="H17" s="1">
        <f t="shared" si="0"/>
        <v>82.079343365253081</v>
      </c>
      <c r="I17" s="1">
        <f t="shared" si="1"/>
        <v>43.86</v>
      </c>
      <c r="J17" s="1">
        <f t="shared" si="2"/>
        <v>53.298274912501995</v>
      </c>
      <c r="K17" s="1">
        <v>1900</v>
      </c>
      <c r="N17" s="1" t="s">
        <v>3</v>
      </c>
      <c r="O17" s="1" t="s">
        <v>28</v>
      </c>
      <c r="P17" s="1" t="s">
        <v>6</v>
      </c>
      <c r="Q17" s="1" t="s">
        <v>7</v>
      </c>
      <c r="R17" s="1" t="s">
        <v>13</v>
      </c>
    </row>
    <row r="18" spans="6:18">
      <c r="F18" s="1">
        <v>65</v>
      </c>
      <c r="G18" s="1">
        <v>0.76400000000000001</v>
      </c>
      <c r="H18" s="1">
        <f t="shared" si="0"/>
        <v>85.078534031413611</v>
      </c>
      <c r="I18" s="1">
        <f t="shared" si="1"/>
        <v>49.660000000000004</v>
      </c>
      <c r="J18" s="1">
        <f t="shared" si="2"/>
        <v>55.245801319099748</v>
      </c>
      <c r="K18" s="1">
        <v>1950</v>
      </c>
      <c r="N18" s="1" t="s">
        <v>4</v>
      </c>
      <c r="O18" s="1" t="s">
        <v>26</v>
      </c>
      <c r="P18" s="1" t="s">
        <v>30</v>
      </c>
      <c r="Q18" s="1">
        <v>205207</v>
      </c>
      <c r="R18" s="1" t="s">
        <v>29</v>
      </c>
    </row>
    <row r="19" spans="6:18">
      <c r="F19" s="1">
        <v>70</v>
      </c>
      <c r="G19" s="1">
        <v>0.79600000000000004</v>
      </c>
      <c r="H19" s="1">
        <f t="shared" si="0"/>
        <v>87.939698492462313</v>
      </c>
      <c r="I19" s="1">
        <f t="shared" si="1"/>
        <v>55.720000000000006</v>
      </c>
      <c r="J19" s="1">
        <f t="shared" si="2"/>
        <v>57.103700319780721</v>
      </c>
      <c r="K19" s="1">
        <v>2000</v>
      </c>
      <c r="N19" s="1" t="s">
        <v>5</v>
      </c>
      <c r="O19" s="1" t="s">
        <v>27</v>
      </c>
      <c r="P19" s="1"/>
      <c r="Q19" s="1" t="s">
        <v>8</v>
      </c>
      <c r="R19" s="1" t="s">
        <v>12</v>
      </c>
    </row>
    <row r="20" spans="6:18">
      <c r="F20" s="1">
        <v>75</v>
      </c>
      <c r="G20" s="1">
        <v>0.82399999999999995</v>
      </c>
      <c r="H20" s="1">
        <f t="shared" si="0"/>
        <v>91.019417475728162</v>
      </c>
      <c r="I20" s="1">
        <f t="shared" si="1"/>
        <v>61.8</v>
      </c>
      <c r="J20" s="1">
        <f t="shared" si="2"/>
        <v>59.103517841381922</v>
      </c>
      <c r="K20" s="1">
        <v>2030</v>
      </c>
    </row>
    <row r="21" spans="6:18">
      <c r="F21" s="1">
        <v>80</v>
      </c>
      <c r="G21" s="1">
        <v>0.85299999999999998</v>
      </c>
      <c r="H21" s="1">
        <f t="shared" si="0"/>
        <v>93.78663540445487</v>
      </c>
      <c r="I21" s="1">
        <f t="shared" si="1"/>
        <v>68.239999999999995</v>
      </c>
      <c r="J21" s="1">
        <f t="shared" si="2"/>
        <v>60.900412600295368</v>
      </c>
      <c r="K21" s="1">
        <v>2080</v>
      </c>
    </row>
    <row r="22" spans="6:18">
      <c r="F22" s="1">
        <v>85</v>
      </c>
      <c r="G22" s="1">
        <v>0.88600000000000001</v>
      </c>
      <c r="H22" s="1">
        <f t="shared" si="0"/>
        <v>95.936794582392778</v>
      </c>
      <c r="I22" s="1">
        <f t="shared" si="1"/>
        <v>75.31</v>
      </c>
      <c r="J22" s="1">
        <f t="shared" si="2"/>
        <v>62.296619858696609</v>
      </c>
      <c r="K22" s="1">
        <v>2160</v>
      </c>
    </row>
    <row r="23" spans="6:18">
      <c r="F23" s="1">
        <v>90</v>
      </c>
      <c r="G23" s="1">
        <v>0.90900000000000003</v>
      </c>
      <c r="H23" s="1">
        <f t="shared" si="0"/>
        <v>99.009900990099013</v>
      </c>
      <c r="I23" s="1">
        <f t="shared" si="1"/>
        <v>81.81</v>
      </c>
      <c r="J23" s="1">
        <f t="shared" si="2"/>
        <v>64.292143500064299</v>
      </c>
      <c r="K23" s="1">
        <v>2220</v>
      </c>
    </row>
    <row r="24" spans="6:18">
      <c r="F24" s="1">
        <v>95</v>
      </c>
      <c r="G24" s="1">
        <v>0.93600000000000005</v>
      </c>
      <c r="H24" s="1">
        <f t="shared" si="0"/>
        <v>101.49572649572649</v>
      </c>
      <c r="I24" s="1">
        <f t="shared" si="1"/>
        <v>88.92</v>
      </c>
      <c r="J24" s="1">
        <f t="shared" si="2"/>
        <v>65.906315906315896</v>
      </c>
      <c r="K24" s="1">
        <v>2270</v>
      </c>
    </row>
    <row r="25" spans="6:18">
      <c r="F25" s="1">
        <v>100</v>
      </c>
      <c r="G25" s="1">
        <v>0.96199999999999997</v>
      </c>
      <c r="H25" s="1">
        <f t="shared" si="0"/>
        <v>103.95010395010395</v>
      </c>
      <c r="I25" s="1">
        <f t="shared" si="1"/>
        <v>96.2</v>
      </c>
      <c r="J25" s="1">
        <f t="shared" si="2"/>
        <v>67.500067500067502</v>
      </c>
      <c r="K25" s="1">
        <v>2320</v>
      </c>
    </row>
    <row r="26" spans="6:18">
      <c r="M26" t="s">
        <v>25</v>
      </c>
    </row>
    <row r="27" spans="6:18">
      <c r="M27" t="s">
        <v>1</v>
      </c>
    </row>
    <row r="28" spans="6:18">
      <c r="M28" t="s">
        <v>20</v>
      </c>
      <c r="N28" t="s">
        <v>24</v>
      </c>
    </row>
    <row r="29" spans="6:18">
      <c r="K29">
        <f>10^0.08</f>
        <v>1.2022644346174129</v>
      </c>
      <c r="N29" t="s">
        <v>21</v>
      </c>
    </row>
    <row r="30" spans="6:18">
      <c r="M30" t="s">
        <v>22</v>
      </c>
      <c r="N30" t="s">
        <v>23</v>
      </c>
    </row>
    <row r="33" spans="14:15">
      <c r="N33" s="1" t="s">
        <v>39</v>
      </c>
      <c r="O33" s="1" t="s">
        <v>40</v>
      </c>
    </row>
    <row r="34" spans="14:15">
      <c r="N34" s="1">
        <v>5</v>
      </c>
      <c r="O34" s="1">
        <v>590</v>
      </c>
    </row>
    <row r="35" spans="14:15">
      <c r="N35" s="1">
        <v>10</v>
      </c>
      <c r="O35" s="1">
        <v>870</v>
      </c>
    </row>
    <row r="36" spans="14:15">
      <c r="N36" s="1">
        <v>15</v>
      </c>
      <c r="O36" s="1">
        <v>1080</v>
      </c>
    </row>
    <row r="37" spans="14:15">
      <c r="N37" s="1">
        <v>20</v>
      </c>
      <c r="O37" s="1">
        <v>1210</v>
      </c>
    </row>
    <row r="38" spans="14:15">
      <c r="N38" s="1">
        <v>25</v>
      </c>
      <c r="O38" s="1">
        <v>1350</v>
      </c>
    </row>
    <row r="39" spans="14:15">
      <c r="N39" s="1">
        <v>30</v>
      </c>
      <c r="O39" s="1">
        <v>1380</v>
      </c>
    </row>
    <row r="40" spans="14:15">
      <c r="N40" s="1">
        <v>35</v>
      </c>
      <c r="O40" s="1">
        <v>1540</v>
      </c>
    </row>
    <row r="41" spans="14:15">
      <c r="N41" s="1">
        <v>40</v>
      </c>
      <c r="O41" s="1">
        <v>1580</v>
      </c>
    </row>
    <row r="42" spans="14:15">
      <c r="N42" s="1">
        <v>45</v>
      </c>
      <c r="O42" s="1">
        <v>1670</v>
      </c>
    </row>
    <row r="43" spans="14:15">
      <c r="N43" s="1">
        <v>50</v>
      </c>
      <c r="O43" s="1">
        <v>1750</v>
      </c>
    </row>
    <row r="44" spans="14:15">
      <c r="N44" s="1">
        <v>55</v>
      </c>
      <c r="O44" s="1">
        <v>1870</v>
      </c>
    </row>
    <row r="45" spans="14:15">
      <c r="N45" s="1">
        <v>60</v>
      </c>
      <c r="O45" s="1">
        <v>1900</v>
      </c>
    </row>
    <row r="46" spans="14:15">
      <c r="N46" s="1">
        <v>65</v>
      </c>
      <c r="O46" s="1">
        <v>1950</v>
      </c>
    </row>
    <row r="47" spans="14:15">
      <c r="N47" s="1">
        <v>70</v>
      </c>
      <c r="O47" s="1">
        <v>2000</v>
      </c>
    </row>
    <row r="48" spans="14:15">
      <c r="N48" s="1">
        <v>75</v>
      </c>
      <c r="O48" s="1">
        <v>2030</v>
      </c>
    </row>
    <row r="49" spans="14:15">
      <c r="N49" s="1">
        <v>80</v>
      </c>
      <c r="O49" s="1">
        <v>2080</v>
      </c>
    </row>
    <row r="50" spans="14:15">
      <c r="N50" s="1">
        <v>85</v>
      </c>
      <c r="O50" s="1">
        <v>2160</v>
      </c>
    </row>
    <row r="51" spans="14:15">
      <c r="N51" s="1">
        <v>90</v>
      </c>
      <c r="O51" s="1">
        <v>2220</v>
      </c>
    </row>
    <row r="52" spans="14:15">
      <c r="N52" s="1">
        <v>95</v>
      </c>
      <c r="O52" s="1">
        <v>2270</v>
      </c>
    </row>
    <row r="53" spans="14:15">
      <c r="N53" s="1">
        <v>100</v>
      </c>
      <c r="O53" s="1">
        <v>2320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5324-CDF7-334C-BFC0-A72453B9A692}">
  <dimension ref="A1"/>
  <sheetViews>
    <sheetView workbookViewId="0">
      <selection activeCell="D26" sqref="D26"/>
    </sheetView>
  </sheetViews>
  <sheetFormatPr baseColWidth="10" defaultRowHeight="20"/>
  <sheetData/>
  <phoneticPr fontId="1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　凜久</dc:creator>
  <cp:lastModifiedBy>小川　凜久</cp:lastModifiedBy>
  <dcterms:created xsi:type="dcterms:W3CDTF">2024-11-01T05:21:10Z</dcterms:created>
  <dcterms:modified xsi:type="dcterms:W3CDTF">2025-09-15T09:23:18Z</dcterms:modified>
</cp:coreProperties>
</file>