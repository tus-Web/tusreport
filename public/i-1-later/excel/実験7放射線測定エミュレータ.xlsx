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gawarinkyuu/Desktop/"/>
    </mc:Choice>
  </mc:AlternateContent>
  <xr:revisionPtr revIDLastSave="0" documentId="13_ncr:1_{00F3E3CA-A1B2-BC4A-A046-0DF73C4B3428}" xr6:coauthVersionLast="47" xr6:coauthVersionMax="47" xr10:uidLastSave="{00000000-0000-0000-0000-000000000000}"/>
  <bookViews>
    <workbookView xWindow="4440" yWindow="760" windowWidth="19160" windowHeight="13960" xr2:uid="{A4C90DCD-01B9-4887-858C-34B9EE4EF810}"/>
  </bookViews>
  <sheets>
    <sheet name="Sheet1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D4" i="1"/>
  <c r="F4" i="1" s="1"/>
  <c r="F22" i="1" s="1"/>
  <c r="D5" i="1"/>
  <c r="D6" i="1"/>
  <c r="D7" i="1"/>
  <c r="F7" i="1" s="1"/>
  <c r="D8" i="1"/>
  <c r="D9" i="1"/>
  <c r="D10" i="1"/>
  <c r="D22" i="1" s="1"/>
  <c r="D11" i="1"/>
  <c r="F11" i="1" s="1"/>
  <c r="D12" i="1"/>
  <c r="D13" i="1"/>
  <c r="D14" i="1"/>
  <c r="D15" i="1"/>
  <c r="F15" i="1" s="1"/>
  <c r="D16" i="1"/>
  <c r="D17" i="1"/>
  <c r="D18" i="1"/>
  <c r="D19" i="1"/>
  <c r="F19" i="1" s="1"/>
  <c r="D20" i="1"/>
  <c r="D21" i="1"/>
  <c r="D3" i="1"/>
  <c r="F3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3" i="1"/>
  <c r="F5" i="1"/>
  <c r="F6" i="1"/>
  <c r="F8" i="1"/>
  <c r="F9" i="1"/>
  <c r="F10" i="1"/>
  <c r="F12" i="1"/>
  <c r="F13" i="1"/>
  <c r="F14" i="1"/>
  <c r="F16" i="1"/>
  <c r="F17" i="1"/>
  <c r="F18" i="1"/>
  <c r="F20" i="1"/>
  <c r="F21" i="1"/>
</calcChain>
</file>

<file path=xl/sharedStrings.xml><?xml version="1.0" encoding="utf-8"?>
<sst xmlns="http://schemas.openxmlformats.org/spreadsheetml/2006/main" count="33" uniqueCount="14">
  <si>
    <t>頻度</t>
    <rPh sb="0" eb="2">
      <t>ヒンド</t>
    </rPh>
    <phoneticPr fontId="1"/>
  </si>
  <si>
    <t>確率W(m)</t>
    <rPh sb="0" eb="2">
      <t>カクリツ</t>
    </rPh>
    <phoneticPr fontId="1"/>
  </si>
  <si>
    <t>mW(m)</t>
    <phoneticPr fontId="1"/>
  </si>
  <si>
    <t>%</t>
    <phoneticPr fontId="1"/>
  </si>
  <si>
    <t>ポアソン分布</t>
    <rPh sb="4" eb="6">
      <t>ブンプ</t>
    </rPh>
    <phoneticPr fontId="1"/>
  </si>
  <si>
    <t>合計</t>
    <rPh sb="0" eb="2">
      <t>ゴウケイ</t>
    </rPh>
    <phoneticPr fontId="1"/>
  </si>
  <si>
    <t>%</t>
    <phoneticPr fontId="1"/>
  </si>
  <si>
    <t>CPM</t>
    <phoneticPr fontId="1"/>
  </si>
  <si>
    <r>
      <t>m</t>
    </r>
    <r>
      <rPr>
        <sz val="11"/>
        <color theme="1"/>
        <rFont val="ＭＳ Ｐゴシック"/>
        <family val="3"/>
        <charset val="128"/>
      </rPr>
      <t>の階級</t>
    </r>
    <rPh sb="2" eb="4">
      <t>カイキュウ</t>
    </rPh>
    <phoneticPr fontId="1"/>
  </si>
  <si>
    <r>
      <t>CP2M</t>
    </r>
    <r>
      <rPr>
        <sz val="11"/>
        <color theme="1"/>
        <rFont val="ＭＳ Ｐゴシック"/>
        <family val="3"/>
        <charset val="128"/>
      </rPr>
      <t>換算</t>
    </r>
    <r>
      <rPr>
        <sz val="11"/>
        <color theme="1"/>
        <rFont val="Arial"/>
        <family val="2"/>
        <charset val="128"/>
      </rPr>
      <t>m</t>
    </r>
    <rPh sb="4" eb="6">
      <t>カンサン</t>
    </rPh>
    <phoneticPr fontId="1"/>
  </si>
  <si>
    <t>放射線測定エミュレータ</t>
    <rPh sb="0" eb="3">
      <t>ホウシャセン</t>
    </rPh>
    <rPh sb="3" eb="5">
      <t>ソクテイ</t>
    </rPh>
    <phoneticPr fontId="1"/>
  </si>
  <si>
    <t>■</t>
    <phoneticPr fontId="1"/>
  </si>
  <si>
    <t>：入力値</t>
    <rPh sb="1" eb="4">
      <t>ニュウリョクチ</t>
    </rPh>
    <phoneticPr fontId="1"/>
  </si>
  <si>
    <t>：TAが欲している値</t>
    <rPh sb="4" eb="5">
      <t>ホッ</t>
    </rPh>
    <rPh sb="9" eb="10">
      <t>アタイ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</si>
</sst>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rial"/>
      <family val="2"/>
      <charset val="128"/>
    </font>
    <font>
      <sz val="6"/>
      <name val="Arial"/>
      <family val="2"/>
      <charset val="128"/>
    </font>
    <font>
      <sz val="11"/>
      <color theme="1"/>
      <name val="Arial"/>
      <family val="2"/>
      <charset val="128"/>
    </font>
    <font>
      <sz val="11"/>
      <color theme="1"/>
      <name val="ＭＳ Ｐゴシック"/>
      <family val="3"/>
      <charset val="128"/>
    </font>
    <font>
      <sz val="11"/>
      <color theme="7" tint="0.59999389629810485"/>
      <name val="ＭＳ Ｐゴシック"/>
      <family val="3"/>
      <charset val="128"/>
    </font>
    <font>
      <sz val="11"/>
      <color theme="8" tint="0.59999389629810485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59996337778862885"/>
        <bgColor indexed="64"/>
      </patternFill>
    </fill>
  </fills>
  <borders count="31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>
      <alignment vertical="center"/>
    </xf>
    <xf numFmtId="2" fontId="2" fillId="0" borderId="25" xfId="0" applyNumberFormat="1" applyFont="1" applyBorder="1">
      <alignment vertical="center"/>
    </xf>
    <xf numFmtId="0" fontId="2" fillId="0" borderId="29" xfId="0" applyFont="1" applyBorder="1">
      <alignment vertical="center"/>
    </xf>
    <xf numFmtId="2" fontId="2" fillId="0" borderId="3" xfId="0" applyNumberFormat="1" applyFont="1" applyBorder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>
      <alignment vertical="center"/>
    </xf>
    <xf numFmtId="2" fontId="2" fillId="0" borderId="26" xfId="0" applyNumberFormat="1" applyFont="1" applyBorder="1">
      <alignment vertical="center"/>
    </xf>
    <xf numFmtId="0" fontId="2" fillId="0" borderId="7" xfId="0" applyFont="1" applyBorder="1">
      <alignment vertical="center"/>
    </xf>
    <xf numFmtId="2" fontId="2" fillId="0" borderId="6" xfId="0" applyNumberFormat="1" applyFont="1" applyBorder="1">
      <alignment vertical="center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>
      <alignment vertical="center"/>
    </xf>
    <xf numFmtId="2" fontId="2" fillId="0" borderId="27" xfId="0" applyNumberFormat="1" applyFont="1" applyBorder="1">
      <alignment vertical="center"/>
    </xf>
    <xf numFmtId="2" fontId="2" fillId="0" borderId="20" xfId="0" applyNumberFormat="1" applyFont="1" applyBorder="1">
      <alignment vertical="center"/>
    </xf>
    <xf numFmtId="0" fontId="2" fillId="0" borderId="22" xfId="0" applyFont="1" applyBorder="1">
      <alignment vertical="center"/>
    </xf>
    <xf numFmtId="2" fontId="2" fillId="0" borderId="28" xfId="0" applyNumberFormat="1" applyFont="1" applyBorder="1">
      <alignment vertical="center"/>
    </xf>
    <xf numFmtId="0" fontId="2" fillId="0" borderId="24" xfId="0" applyFont="1" applyBorder="1">
      <alignment vertical="center"/>
    </xf>
    <xf numFmtId="2" fontId="2" fillId="0" borderId="23" xfId="0" applyNumberFormat="1" applyFont="1" applyBorder="1">
      <alignment vertical="center"/>
    </xf>
    <xf numFmtId="0" fontId="2" fillId="2" borderId="2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2" fillId="2" borderId="19" xfId="0" applyFont="1" applyFill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96920384951881"/>
          <c:y val="5.0925925925925923E-2"/>
          <c:w val="0.74475481189851267"/>
          <c:h val="0.77868802857976083"/>
        </c:manualLayout>
      </c:layout>
      <c:barChart>
        <c:barDir val="col"/>
        <c:grouping val="clustered"/>
        <c:varyColors val="0"/>
        <c:ser>
          <c:idx val="0"/>
          <c:order val="0"/>
          <c:tx>
            <c:v>取得データ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19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</c:numLit>
          </c:cat>
          <c:val>
            <c:numRef>
              <c:f>Sheet1!$D$3:$D$21</c:f>
              <c:numCache>
                <c:formatCode>0.00</c:formatCode>
                <c:ptCount val="19"/>
                <c:pt idx="0">
                  <c:v>0</c:v>
                </c:pt>
                <c:pt idx="1">
                  <c:v>2.5</c:v>
                </c:pt>
                <c:pt idx="2">
                  <c:v>2.5</c:v>
                </c:pt>
                <c:pt idx="3">
                  <c:v>6</c:v>
                </c:pt>
                <c:pt idx="4">
                  <c:v>10</c:v>
                </c:pt>
                <c:pt idx="5">
                  <c:v>9.5</c:v>
                </c:pt>
                <c:pt idx="6">
                  <c:v>10</c:v>
                </c:pt>
                <c:pt idx="7">
                  <c:v>12</c:v>
                </c:pt>
                <c:pt idx="8">
                  <c:v>11.5</c:v>
                </c:pt>
                <c:pt idx="9">
                  <c:v>11</c:v>
                </c:pt>
                <c:pt idx="10">
                  <c:v>5.5</c:v>
                </c:pt>
                <c:pt idx="11">
                  <c:v>8</c:v>
                </c:pt>
                <c:pt idx="12">
                  <c:v>5.5</c:v>
                </c:pt>
                <c:pt idx="13">
                  <c:v>1.5</c:v>
                </c:pt>
                <c:pt idx="14">
                  <c:v>1</c:v>
                </c:pt>
                <c:pt idx="15">
                  <c:v>2.5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49-47CA-A46A-2819040C7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1587151"/>
        <c:axId val="872077231"/>
      </c:barChart>
      <c:lineChart>
        <c:grouping val="standard"/>
        <c:varyColors val="0"/>
        <c:ser>
          <c:idx val="1"/>
          <c:order val="1"/>
          <c:tx>
            <c:v>理論分布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Sheet1!$H$3:$H$21</c:f>
              <c:numCache>
                <c:formatCode>General</c:formatCode>
                <c:ptCount val="19"/>
                <c:pt idx="0">
                  <c:v>1.4859422513225119E-3</c:v>
                </c:pt>
                <c:pt idx="1">
                  <c:v>5.2138324607807415E-3</c:v>
                </c:pt>
                <c:pt idx="2">
                  <c:v>1.3720611738896689E-2</c:v>
                </c:pt>
                <c:pt idx="3">
                  <c:v>2.8885498397677234E-2</c:v>
                </c:pt>
                <c:pt idx="4">
                  <c:v>5.0676312978381127E-2</c:v>
                </c:pt>
                <c:pt idx="5">
                  <c:v>7.6204981922377651E-2</c:v>
                </c:pt>
                <c:pt idx="6">
                  <c:v>0.10026971305576002</c:v>
                </c:pt>
                <c:pt idx="7">
                  <c:v>0.11727451819387141</c:v>
                </c:pt>
                <c:pt idx="8">
                  <c:v>0.12344686125670674</c:v>
                </c:pt>
                <c:pt idx="9">
                  <c:v>0.11813096770976722</c:v>
                </c:pt>
                <c:pt idx="10">
                  <c:v>0.10362365588576074</c:v>
                </c:pt>
                <c:pt idx="11">
                  <c:v>8.3905794239482384E-2</c:v>
                </c:pt>
                <c:pt idx="12">
                  <c:v>6.3087063337956661E-2</c:v>
                </c:pt>
                <c:pt idx="13">
                  <c:v>4.4271623395057309E-2</c:v>
                </c:pt>
                <c:pt idx="14">
                  <c:v>2.9126068023064066E-2</c:v>
                </c:pt>
                <c:pt idx="15">
                  <c:v>1.8034717042144908E-2</c:v>
                </c:pt>
                <c:pt idx="16">
                  <c:v>1.0546618153301105E-2</c:v>
                </c:pt>
                <c:pt idx="17">
                  <c:v>5.8430017469812195E-3</c:v>
                </c:pt>
                <c:pt idx="18">
                  <c:v>3.0752640773585413E-3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49-47CA-A46A-2819040C7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1595055"/>
        <c:axId val="878104111"/>
      </c:lineChart>
      <c:catAx>
        <c:axId val="871587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データ区間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72077231"/>
        <c:crosses val="autoZero"/>
        <c:auto val="1"/>
        <c:lblAlgn val="ctr"/>
        <c:lblOffset val="100"/>
        <c:noMultiLvlLbl val="0"/>
      </c:catAx>
      <c:valAx>
        <c:axId val="872077231"/>
        <c:scaling>
          <c:orientation val="minMax"/>
          <c:max val="14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相対度数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71587151"/>
        <c:crosses val="autoZero"/>
        <c:crossBetween val="between"/>
      </c:valAx>
      <c:valAx>
        <c:axId val="8781041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71595055"/>
        <c:crosses val="max"/>
        <c:crossBetween val="between"/>
      </c:valAx>
      <c:catAx>
        <c:axId val="871595055"/>
        <c:scaling>
          <c:orientation val="minMax"/>
        </c:scaling>
        <c:delete val="1"/>
        <c:axPos val="b"/>
        <c:majorTickMark val="none"/>
        <c:minorTickMark val="none"/>
        <c:tickLblPos val="nextTo"/>
        <c:crossAx val="8781041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6980008748906383"/>
          <c:y val="0.13946704578594343"/>
          <c:w val="0.2218665791776028"/>
          <c:h val="0.184607028288130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685800</xdr:colOff>
      <xdr:row>11</xdr:row>
      <xdr:rowOff>28575</xdr:rowOff>
    </xdr:from>
    <xdr:to>
      <xdr:col>14</xdr:col>
      <xdr:colOff>82550</xdr:colOff>
      <xdr:row>26</xdr:row>
      <xdr:rowOff>104775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CA6F25F-764D-4848-97CB-E8AF96958A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E4832-D56C-4950-8C80-BB82D460E5CC}">
  <dimension ref="A1:N23"/>
  <sheetViews>
    <sheetView tabSelected="1" workbookViewId="0">
      <selection activeCell="J5" sqref="J5"/>
    </sheetView>
  </sheetViews>
  <sheetFormatPr baseColWidth="10" defaultColWidth="8.6640625" defaultRowHeight="14"/>
  <cols>
    <col min="1" max="1" width="5.33203125" style="1" bestFit="1" customWidth="1"/>
    <col min="2" max="2" width="13.5" style="1" customWidth="1"/>
    <col min="3" max="3" width="6.83203125" style="1" customWidth="1"/>
    <col min="4" max="4" width="6.6640625" style="1" bestFit="1" customWidth="1"/>
    <col min="5" max="5" width="2.83203125" style="1" bestFit="1" customWidth="1"/>
    <col min="6" max="6" width="7" style="1" bestFit="1" customWidth="1"/>
    <col min="7" max="7" width="8.6640625" style="1"/>
    <col min="8" max="8" width="11.5" style="1" bestFit="1" customWidth="1"/>
    <col min="9" max="16384" width="8.6640625" style="1"/>
  </cols>
  <sheetData>
    <row r="1" spans="1:14" ht="15" thickTop="1">
      <c r="A1" s="38" t="s">
        <v>8</v>
      </c>
      <c r="B1" s="39"/>
      <c r="C1" s="30" t="s">
        <v>0</v>
      </c>
      <c r="D1" s="32" t="s">
        <v>1</v>
      </c>
      <c r="E1" s="33"/>
      <c r="F1" s="36" t="s">
        <v>2</v>
      </c>
      <c r="H1" s="2" t="s">
        <v>4</v>
      </c>
      <c r="J1" s="2" t="s">
        <v>10</v>
      </c>
      <c r="M1" s="26" t="s">
        <v>11</v>
      </c>
      <c r="N1" s="2" t="s">
        <v>12</v>
      </c>
    </row>
    <row r="2" spans="1:14" ht="15" thickBot="1">
      <c r="A2" s="3" t="s">
        <v>7</v>
      </c>
      <c r="B2" s="4" t="s">
        <v>9</v>
      </c>
      <c r="C2" s="31"/>
      <c r="D2" s="34"/>
      <c r="E2" s="35"/>
      <c r="F2" s="37"/>
      <c r="H2" s="2"/>
      <c r="J2" s="2"/>
      <c r="M2" s="27" t="s">
        <v>11</v>
      </c>
      <c r="N2" s="2" t="s">
        <v>13</v>
      </c>
    </row>
    <row r="3" spans="1:14" ht="15" thickTop="1">
      <c r="A3" s="5">
        <v>60</v>
      </c>
      <c r="B3" s="6">
        <v>2</v>
      </c>
      <c r="C3" s="23">
        <v>0</v>
      </c>
      <c r="D3" s="7">
        <f>C3/2</f>
        <v>0</v>
      </c>
      <c r="E3" s="8" t="s">
        <v>3</v>
      </c>
      <c r="F3" s="9">
        <f>B3*D3/100</f>
        <v>0</v>
      </c>
      <c r="H3" s="1">
        <f t="shared" ref="H3:H21" si="0">_xlfn.POISSON.DIST(B3, AVERAGE(C$3:C$21), FALSE)</f>
        <v>1.4859422513225119E-3</v>
      </c>
    </row>
    <row r="4" spans="1:14">
      <c r="A4" s="10">
        <v>90</v>
      </c>
      <c r="B4" s="11">
        <v>3</v>
      </c>
      <c r="C4" s="24">
        <v>5</v>
      </c>
      <c r="D4" s="12">
        <f t="shared" ref="D4:D21" si="1">C4/2</f>
        <v>2.5</v>
      </c>
      <c r="E4" s="13" t="s">
        <v>3</v>
      </c>
      <c r="F4" s="14">
        <f t="shared" ref="F4:F21" si="2">B4*D4/100</f>
        <v>7.4999999999999997E-2</v>
      </c>
      <c r="H4" s="1">
        <f t="shared" si="0"/>
        <v>5.2138324607807415E-3</v>
      </c>
    </row>
    <row r="5" spans="1:14">
      <c r="A5" s="10">
        <v>120</v>
      </c>
      <c r="B5" s="11">
        <v>4</v>
      </c>
      <c r="C5" s="24">
        <v>5</v>
      </c>
      <c r="D5" s="12">
        <f t="shared" si="1"/>
        <v>2.5</v>
      </c>
      <c r="E5" s="13" t="s">
        <v>3</v>
      </c>
      <c r="F5" s="14">
        <f t="shared" si="2"/>
        <v>0.1</v>
      </c>
      <c r="H5" s="1">
        <f t="shared" si="0"/>
        <v>1.3720611738896689E-2</v>
      </c>
    </row>
    <row r="6" spans="1:14">
      <c r="A6" s="10">
        <v>150</v>
      </c>
      <c r="B6" s="11">
        <v>5</v>
      </c>
      <c r="C6" s="24">
        <v>12</v>
      </c>
      <c r="D6" s="12">
        <f t="shared" si="1"/>
        <v>6</v>
      </c>
      <c r="E6" s="13" t="s">
        <v>3</v>
      </c>
      <c r="F6" s="14">
        <f t="shared" si="2"/>
        <v>0.3</v>
      </c>
      <c r="H6" s="1">
        <f t="shared" si="0"/>
        <v>2.8885498397677234E-2</v>
      </c>
    </row>
    <row r="7" spans="1:14">
      <c r="A7" s="10">
        <v>180</v>
      </c>
      <c r="B7" s="11">
        <v>6</v>
      </c>
      <c r="C7" s="24">
        <v>20</v>
      </c>
      <c r="D7" s="12">
        <f t="shared" si="1"/>
        <v>10</v>
      </c>
      <c r="E7" s="13" t="s">
        <v>3</v>
      </c>
      <c r="F7" s="14">
        <f t="shared" si="2"/>
        <v>0.6</v>
      </c>
      <c r="H7" s="1">
        <f t="shared" si="0"/>
        <v>5.0676312978381127E-2</v>
      </c>
    </row>
    <row r="8" spans="1:14">
      <c r="A8" s="10">
        <v>210</v>
      </c>
      <c r="B8" s="11">
        <v>7</v>
      </c>
      <c r="C8" s="24">
        <v>19</v>
      </c>
      <c r="D8" s="12">
        <f t="shared" si="1"/>
        <v>9.5</v>
      </c>
      <c r="E8" s="13" t="s">
        <v>3</v>
      </c>
      <c r="F8" s="14">
        <f t="shared" si="2"/>
        <v>0.66500000000000004</v>
      </c>
      <c r="H8" s="1">
        <f t="shared" si="0"/>
        <v>7.6204981922377651E-2</v>
      </c>
    </row>
    <row r="9" spans="1:14">
      <c r="A9" s="10">
        <v>240</v>
      </c>
      <c r="B9" s="11">
        <v>8</v>
      </c>
      <c r="C9" s="24">
        <v>20</v>
      </c>
      <c r="D9" s="12">
        <f t="shared" si="1"/>
        <v>10</v>
      </c>
      <c r="E9" s="13" t="s">
        <v>3</v>
      </c>
      <c r="F9" s="14">
        <f t="shared" si="2"/>
        <v>0.8</v>
      </c>
      <c r="H9" s="1">
        <f t="shared" si="0"/>
        <v>0.10026971305576002</v>
      </c>
    </row>
    <row r="10" spans="1:14">
      <c r="A10" s="10">
        <v>270</v>
      </c>
      <c r="B10" s="11">
        <v>9</v>
      </c>
      <c r="C10" s="24">
        <v>24</v>
      </c>
      <c r="D10" s="12">
        <f t="shared" si="1"/>
        <v>12</v>
      </c>
      <c r="E10" s="13" t="s">
        <v>3</v>
      </c>
      <c r="F10" s="14">
        <f t="shared" si="2"/>
        <v>1.08</v>
      </c>
      <c r="H10" s="1">
        <f t="shared" si="0"/>
        <v>0.11727451819387141</v>
      </c>
    </row>
    <row r="11" spans="1:14">
      <c r="A11" s="10">
        <v>300</v>
      </c>
      <c r="B11" s="11">
        <v>10</v>
      </c>
      <c r="C11" s="24">
        <v>23</v>
      </c>
      <c r="D11" s="12">
        <f t="shared" si="1"/>
        <v>11.5</v>
      </c>
      <c r="E11" s="13" t="s">
        <v>3</v>
      </c>
      <c r="F11" s="14">
        <f t="shared" si="2"/>
        <v>1.1499999999999999</v>
      </c>
      <c r="H11" s="1">
        <f t="shared" si="0"/>
        <v>0.12344686125670674</v>
      </c>
    </row>
    <row r="12" spans="1:14">
      <c r="A12" s="10">
        <v>330</v>
      </c>
      <c r="B12" s="11">
        <v>11</v>
      </c>
      <c r="C12" s="24">
        <v>22</v>
      </c>
      <c r="D12" s="12">
        <f t="shared" si="1"/>
        <v>11</v>
      </c>
      <c r="E12" s="13" t="s">
        <v>3</v>
      </c>
      <c r="F12" s="14">
        <f t="shared" si="2"/>
        <v>1.21</v>
      </c>
      <c r="H12" s="1">
        <f t="shared" si="0"/>
        <v>0.11813096770976722</v>
      </c>
    </row>
    <row r="13" spans="1:14">
      <c r="A13" s="10">
        <v>360</v>
      </c>
      <c r="B13" s="11">
        <v>12</v>
      </c>
      <c r="C13" s="24">
        <v>11</v>
      </c>
      <c r="D13" s="12">
        <f t="shared" si="1"/>
        <v>5.5</v>
      </c>
      <c r="E13" s="13" t="s">
        <v>3</v>
      </c>
      <c r="F13" s="14">
        <f t="shared" si="2"/>
        <v>0.66</v>
      </c>
      <c r="H13" s="1">
        <f t="shared" si="0"/>
        <v>0.10362365588576074</v>
      </c>
    </row>
    <row r="14" spans="1:14">
      <c r="A14" s="10">
        <v>390</v>
      </c>
      <c r="B14" s="11">
        <v>13</v>
      </c>
      <c r="C14" s="24">
        <v>16</v>
      </c>
      <c r="D14" s="12">
        <f t="shared" si="1"/>
        <v>8</v>
      </c>
      <c r="E14" s="13" t="s">
        <v>3</v>
      </c>
      <c r="F14" s="14">
        <f t="shared" si="2"/>
        <v>1.04</v>
      </c>
      <c r="H14" s="1">
        <f t="shared" si="0"/>
        <v>8.3905794239482384E-2</v>
      </c>
    </row>
    <row r="15" spans="1:14">
      <c r="A15" s="10">
        <v>420</v>
      </c>
      <c r="B15" s="11">
        <v>14</v>
      </c>
      <c r="C15" s="24">
        <v>11</v>
      </c>
      <c r="D15" s="12">
        <f t="shared" si="1"/>
        <v>5.5</v>
      </c>
      <c r="E15" s="13" t="s">
        <v>3</v>
      </c>
      <c r="F15" s="14">
        <f t="shared" si="2"/>
        <v>0.77</v>
      </c>
      <c r="H15" s="1">
        <f t="shared" si="0"/>
        <v>6.3087063337956661E-2</v>
      </c>
    </row>
    <row r="16" spans="1:14">
      <c r="A16" s="10">
        <v>450</v>
      </c>
      <c r="B16" s="11">
        <v>15</v>
      </c>
      <c r="C16" s="24">
        <v>3</v>
      </c>
      <c r="D16" s="12">
        <f t="shared" si="1"/>
        <v>1.5</v>
      </c>
      <c r="E16" s="13" t="s">
        <v>3</v>
      </c>
      <c r="F16" s="14">
        <f t="shared" si="2"/>
        <v>0.22500000000000001</v>
      </c>
      <c r="H16" s="1">
        <f t="shared" si="0"/>
        <v>4.4271623395057309E-2</v>
      </c>
    </row>
    <row r="17" spans="1:8">
      <c r="A17" s="10">
        <v>480</v>
      </c>
      <c r="B17" s="11">
        <v>16</v>
      </c>
      <c r="C17" s="24">
        <v>2</v>
      </c>
      <c r="D17" s="12">
        <f t="shared" si="1"/>
        <v>1</v>
      </c>
      <c r="E17" s="13" t="s">
        <v>3</v>
      </c>
      <c r="F17" s="14">
        <f t="shared" si="2"/>
        <v>0.16</v>
      </c>
      <c r="H17" s="1">
        <f t="shared" si="0"/>
        <v>2.9126068023064066E-2</v>
      </c>
    </row>
    <row r="18" spans="1:8">
      <c r="A18" s="10">
        <v>510</v>
      </c>
      <c r="B18" s="11">
        <v>17</v>
      </c>
      <c r="C18" s="24">
        <v>5</v>
      </c>
      <c r="D18" s="12">
        <f t="shared" si="1"/>
        <v>2.5</v>
      </c>
      <c r="E18" s="13" t="s">
        <v>3</v>
      </c>
      <c r="F18" s="14">
        <f t="shared" si="2"/>
        <v>0.42499999999999999</v>
      </c>
      <c r="H18" s="1">
        <f t="shared" si="0"/>
        <v>1.8034717042144908E-2</v>
      </c>
    </row>
    <row r="19" spans="1:8">
      <c r="A19" s="10">
        <v>540</v>
      </c>
      <c r="B19" s="11">
        <v>18</v>
      </c>
      <c r="C19" s="24">
        <v>0</v>
      </c>
      <c r="D19" s="12">
        <f t="shared" si="1"/>
        <v>0</v>
      </c>
      <c r="E19" s="13" t="s">
        <v>3</v>
      </c>
      <c r="F19" s="14">
        <f t="shared" si="2"/>
        <v>0</v>
      </c>
      <c r="H19" s="1">
        <f t="shared" si="0"/>
        <v>1.0546618153301105E-2</v>
      </c>
    </row>
    <row r="20" spans="1:8">
      <c r="A20" s="10">
        <v>570</v>
      </c>
      <c r="B20" s="11">
        <v>19</v>
      </c>
      <c r="C20" s="24">
        <v>2</v>
      </c>
      <c r="D20" s="12">
        <f t="shared" si="1"/>
        <v>1</v>
      </c>
      <c r="E20" s="13" t="s">
        <v>3</v>
      </c>
      <c r="F20" s="14">
        <f t="shared" si="2"/>
        <v>0.19</v>
      </c>
      <c r="H20" s="1">
        <f t="shared" si="0"/>
        <v>5.8430017469812195E-3</v>
      </c>
    </row>
    <row r="21" spans="1:8" ht="15" thickBot="1">
      <c r="A21" s="15">
        <v>600</v>
      </c>
      <c r="B21" s="16">
        <v>20</v>
      </c>
      <c r="C21" s="25">
        <v>0</v>
      </c>
      <c r="D21" s="17">
        <f t="shared" si="1"/>
        <v>0</v>
      </c>
      <c r="E21" s="4" t="s">
        <v>3</v>
      </c>
      <c r="F21" s="18">
        <f t="shared" si="2"/>
        <v>0</v>
      </c>
      <c r="H21" s="1">
        <f t="shared" si="0"/>
        <v>3.0752640773585413E-3</v>
      </c>
    </row>
    <row r="22" spans="1:8" ht="16" thickTop="1" thickBot="1">
      <c r="A22" s="28" t="s">
        <v>5</v>
      </c>
      <c r="B22" s="29"/>
      <c r="C22" s="19">
        <f>SUM(C3:C21)</f>
        <v>200</v>
      </c>
      <c r="D22" s="20">
        <f>SUM(D3:D21)</f>
        <v>100</v>
      </c>
      <c r="E22" s="21" t="s">
        <v>6</v>
      </c>
      <c r="F22" s="22">
        <f>SUM(F3:F21)</f>
        <v>9.4499999999999993</v>
      </c>
    </row>
    <row r="23" spans="1:8" ht="15" thickTop="1"/>
  </sheetData>
  <mergeCells count="5">
    <mergeCell ref="A22:B22"/>
    <mergeCell ref="C1:C2"/>
    <mergeCell ref="D1:E2"/>
    <mergeCell ref="F1:F2"/>
    <mergeCell ref="A1:B1"/>
  </mergeCells>
  <phoneticPr fontId="1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K.Hamada</dc:creator>
  <cp:lastModifiedBy>小川　凜久</cp:lastModifiedBy>
  <dcterms:created xsi:type="dcterms:W3CDTF">2017-10-01T02:19:15Z</dcterms:created>
  <dcterms:modified xsi:type="dcterms:W3CDTF">2025-09-15T09:17:28Z</dcterms:modified>
</cp:coreProperties>
</file>