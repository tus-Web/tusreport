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4"/>
  <workbookPr/>
  <mc:AlternateContent xmlns:mc="http://schemas.openxmlformats.org/markup-compatibility/2006">
    <mc:Choice Requires="x15">
      <x15ac:absPath xmlns:x15ac="http://schemas.microsoft.com/office/spreadsheetml/2010/11/ac" url="/Users/ogawarinkyuu/Documents/大学＿過去問/情報工学科1年/後期/2017年度工学基礎実験/エミュレータ/"/>
    </mc:Choice>
  </mc:AlternateContent>
  <xr:revisionPtr revIDLastSave="0" documentId="13_ncr:1_{30444B7E-E5A0-2C49-8BC7-2CC617E97E6A}" xr6:coauthVersionLast="47" xr6:coauthVersionMax="47" xr10:uidLastSave="{00000000-0000-0000-0000-000000000000}"/>
  <bookViews>
    <workbookView xWindow="4440" yWindow="760" windowWidth="24960" windowHeight="16220" tabRatio="50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5" i="1" l="1"/>
  <c r="B22" i="1"/>
  <c r="C5" i="1"/>
  <c r="G5" i="1"/>
  <c r="J5" i="1" s="1"/>
  <c r="H5" i="1"/>
  <c r="I5" i="1"/>
  <c r="B6" i="1"/>
  <c r="C6" i="1"/>
  <c r="K6" i="1" s="1"/>
  <c r="G6" i="1"/>
  <c r="J6" i="1" s="1"/>
  <c r="H6" i="1"/>
  <c r="I6" i="1"/>
  <c r="B7" i="1"/>
  <c r="C7" i="1" s="1"/>
  <c r="G7" i="1"/>
  <c r="J7" i="1" s="1"/>
  <c r="H7" i="1"/>
  <c r="I7" i="1"/>
  <c r="B8" i="1"/>
  <c r="C8" i="1"/>
  <c r="G8" i="1"/>
  <c r="J8" i="1" s="1"/>
  <c r="K8" i="1" s="1"/>
  <c r="H8" i="1"/>
  <c r="I8" i="1"/>
  <c r="B9" i="1"/>
  <c r="C9" i="1" s="1"/>
  <c r="G9" i="1"/>
  <c r="J9" i="1" s="1"/>
  <c r="H9" i="1"/>
  <c r="I9" i="1"/>
  <c r="B10" i="1"/>
  <c r="C10" i="1" s="1"/>
  <c r="G10" i="1"/>
  <c r="J10" i="1" s="1"/>
  <c r="H10" i="1"/>
  <c r="I10" i="1"/>
  <c r="B11" i="1"/>
  <c r="C11" i="1"/>
  <c r="G11" i="1"/>
  <c r="H11" i="1"/>
  <c r="I11" i="1"/>
  <c r="J11" i="1"/>
  <c r="K11" i="1"/>
  <c r="B12" i="1"/>
  <c r="C12" i="1" s="1"/>
  <c r="K12" i="1" s="1"/>
  <c r="G12" i="1"/>
  <c r="H12" i="1"/>
  <c r="I12" i="1"/>
  <c r="J12" i="1"/>
  <c r="B13" i="1"/>
  <c r="C13" i="1" s="1"/>
  <c r="K13" i="1" s="1"/>
  <c r="G13" i="1"/>
  <c r="H13" i="1"/>
  <c r="I13" i="1"/>
  <c r="J13" i="1"/>
  <c r="B14" i="1"/>
  <c r="C14" i="1"/>
  <c r="K14" i="1" s="1"/>
  <c r="G14" i="1"/>
  <c r="H14" i="1"/>
  <c r="I14" i="1"/>
  <c r="J14" i="1" s="1"/>
  <c r="B15" i="1"/>
  <c r="C15" i="1"/>
  <c r="G15" i="1"/>
  <c r="J15" i="1" s="1"/>
  <c r="H15" i="1"/>
  <c r="I15" i="1"/>
  <c r="B16" i="1"/>
  <c r="C16" i="1"/>
  <c r="G16" i="1"/>
  <c r="J16" i="1" s="1"/>
  <c r="H16" i="1"/>
  <c r="I16" i="1"/>
  <c r="K9" i="1" l="1"/>
  <c r="K15" i="1"/>
  <c r="K7" i="1"/>
  <c r="K5" i="1"/>
  <c r="K16" i="1"/>
  <c r="K10" i="1"/>
  <c r="K17" i="1" l="1"/>
</calcChain>
</file>

<file path=xl/sharedStrings.xml><?xml version="1.0" encoding="utf-8"?>
<sst xmlns="http://schemas.openxmlformats.org/spreadsheetml/2006/main" count="34" uniqueCount="33">
  <si>
    <t>錘の質量</t>
    <rPh sb="0" eb="1">
      <t>オモr</t>
    </rPh>
    <phoneticPr fontId="1"/>
  </si>
  <si>
    <t>弦の張力</t>
    <rPh sb="0" eb="1">
      <t>ゲンノチョ</t>
    </rPh>
    <phoneticPr fontId="1"/>
  </si>
  <si>
    <t>波の速さ</t>
    <rPh sb="0" eb="1">
      <t>ナミn</t>
    </rPh>
    <phoneticPr fontId="1"/>
  </si>
  <si>
    <t>位置(cm)</t>
    <rPh sb="0" eb="2">
      <t>1</t>
    </rPh>
    <phoneticPr fontId="1"/>
  </si>
  <si>
    <t>波長(cm)</t>
    <rPh sb="0" eb="2">
      <t>ハチョ</t>
    </rPh>
    <phoneticPr fontId="1"/>
  </si>
  <si>
    <t>平均波長</t>
    <rPh sb="0" eb="4">
      <t>ヘイk</t>
    </rPh>
    <phoneticPr fontId="1"/>
  </si>
  <si>
    <t>振動数</t>
    <rPh sb="0" eb="3">
      <t>シンd</t>
    </rPh>
    <phoneticPr fontId="1"/>
  </si>
  <si>
    <t>M(g)</t>
    <phoneticPr fontId="1"/>
  </si>
  <si>
    <t>T(dyn)</t>
    <phoneticPr fontId="1"/>
  </si>
  <si>
    <t>v(cm/s)</t>
    <phoneticPr fontId="1"/>
  </si>
  <si>
    <t>x1</t>
    <phoneticPr fontId="1"/>
  </si>
  <si>
    <t>x2</t>
    <phoneticPr fontId="1"/>
  </si>
  <si>
    <t>x3</t>
    <phoneticPr fontId="1"/>
  </si>
  <si>
    <t>λ1</t>
    <phoneticPr fontId="1"/>
  </si>
  <si>
    <t>λ2</t>
    <phoneticPr fontId="1"/>
  </si>
  <si>
    <t>λ3</t>
    <phoneticPr fontId="1"/>
  </si>
  <si>
    <t>λ(cm)</t>
    <phoneticPr fontId="1"/>
  </si>
  <si>
    <t>νe(Hz)</t>
    <phoneticPr fontId="1"/>
  </si>
  <si>
    <t>g=</t>
    <phoneticPr fontId="1"/>
  </si>
  <si>
    <t>m=</t>
    <phoneticPr fontId="1"/>
  </si>
  <si>
    <t>d=</t>
    <phoneticPr fontId="1"/>
  </si>
  <si>
    <t>ρ=</t>
    <phoneticPr fontId="1"/>
  </si>
  <si>
    <t>銅の密度</t>
    <rPh sb="0" eb="1">
      <t>ドウノミツd</t>
    </rPh>
    <phoneticPr fontId="1"/>
  </si>
  <si>
    <t>平均振動数</t>
    <rPh sb="0" eb="5">
      <t>ヘイキn</t>
    </rPh>
    <phoneticPr fontId="1"/>
  </si>
  <si>
    <t>弦の共振エミュレータ</t>
    <rPh sb="0" eb="1">
      <t>ゲンn</t>
    </rPh>
    <phoneticPr fontId="1"/>
  </si>
  <si>
    <t>█</t>
    <phoneticPr fontId="1"/>
  </si>
  <si>
    <t>：入力する値</t>
    <rPh sb="1" eb="3">
      <t>ニュウリョクスルアt</t>
    </rPh>
    <phoneticPr fontId="1"/>
  </si>
  <si>
    <t>：TAが欲している値</t>
    <rPh sb="4" eb="5">
      <t>ガホッシt</t>
    </rPh>
    <phoneticPr fontId="1"/>
  </si>
  <si>
    <t>cm/s^2</t>
    <phoneticPr fontId="1"/>
  </si>
  <si>
    <t>g</t>
    <phoneticPr fontId="1"/>
  </si>
  <si>
    <t>cm</t>
    <phoneticPr fontId="1"/>
  </si>
  <si>
    <t>g/cm^3</t>
    <phoneticPr fontId="1"/>
  </si>
  <si>
    <t>g/cm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</si>
</sst>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Yu Gothic"/>
      <family val="2"/>
      <charset val="128"/>
      <scheme val="minor"/>
    </font>
    <font>
      <sz val="6"/>
      <name val="Yu Gothic"/>
      <family val="2"/>
      <charset val="128"/>
      <scheme val="minor"/>
    </font>
    <font>
      <sz val="12"/>
      <color theme="8" tint="0.59999389629810485"/>
      <name val="Yu Gothic"/>
      <family val="2"/>
      <charset val="128"/>
      <scheme val="minor"/>
    </font>
    <font>
      <sz val="12"/>
      <color theme="7" tint="0.59999389629810485"/>
      <name val="Yu Gothic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</fills>
  <borders count="22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3" xfId="0" applyBorder="1"/>
    <xf numFmtId="0" fontId="0" fillId="0" borderId="15" xfId="0" applyBorder="1"/>
    <xf numFmtId="0" fontId="0" fillId="0" borderId="17" xfId="0" applyBorder="1"/>
    <xf numFmtId="0" fontId="0" fillId="0" borderId="19" xfId="0" applyBorder="1"/>
    <xf numFmtId="0" fontId="0" fillId="0" borderId="20" xfId="0" applyBorder="1"/>
    <xf numFmtId="1" fontId="0" fillId="0" borderId="13" xfId="0" applyNumberFormat="1" applyBorder="1"/>
    <xf numFmtId="1" fontId="0" fillId="0" borderId="2" xfId="0" applyNumberFormat="1" applyBorder="1"/>
    <xf numFmtId="1" fontId="0" fillId="0" borderId="12" xfId="0" applyNumberFormat="1" applyBorder="1"/>
    <xf numFmtId="2" fontId="0" fillId="0" borderId="13" xfId="0" applyNumberFormat="1" applyBorder="1"/>
    <xf numFmtId="2" fontId="0" fillId="0" borderId="2" xfId="0" applyNumberFormat="1" applyBorder="1"/>
    <xf numFmtId="2" fontId="0" fillId="0" borderId="12" xfId="0" applyNumberFormat="1" applyBorder="1"/>
    <xf numFmtId="2" fontId="0" fillId="2" borderId="13" xfId="0" applyNumberFormat="1" applyFill="1" applyBorder="1"/>
    <xf numFmtId="2" fontId="0" fillId="2" borderId="2" xfId="0" applyNumberFormat="1" applyFill="1" applyBorder="1"/>
    <xf numFmtId="2" fontId="0" fillId="2" borderId="12" xfId="0" applyNumberFormat="1" applyFill="1" applyBorder="1"/>
    <xf numFmtId="2" fontId="0" fillId="0" borderId="14" xfId="0" applyNumberFormat="1" applyBorder="1"/>
    <xf numFmtId="2" fontId="0" fillId="0" borderId="16" xfId="0" applyNumberFormat="1" applyBorder="1"/>
    <xf numFmtId="2" fontId="0" fillId="0" borderId="18" xfId="0" applyNumberFormat="1" applyBorder="1"/>
    <xf numFmtId="2" fontId="0" fillId="3" borderId="21" xfId="0" applyNumberFormat="1" applyFill="1" applyBorder="1"/>
    <xf numFmtId="0" fontId="2" fillId="0" borderId="0" xfId="0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showRuler="0" workbookViewId="0">
      <selection activeCell="C1" sqref="C1"/>
    </sheetView>
  </sheetViews>
  <sheetFormatPr baseColWidth="10" defaultColWidth="12.7109375" defaultRowHeight="18" x14ac:dyDescent="0.25"/>
  <sheetData>
    <row r="1" spans="1:11" x14ac:dyDescent="0.25">
      <c r="A1" t="s">
        <v>24</v>
      </c>
      <c r="F1" s="30" t="s">
        <v>25</v>
      </c>
      <c r="G1" t="s">
        <v>26</v>
      </c>
    </row>
    <row r="2" spans="1:11" ht="19" thickBot="1" x14ac:dyDescent="0.3">
      <c r="F2" s="29" t="s">
        <v>25</v>
      </c>
      <c r="G2" t="s">
        <v>27</v>
      </c>
    </row>
    <row r="3" spans="1:11" ht="19" thickTop="1" x14ac:dyDescent="0.25">
      <c r="A3" s="2" t="s">
        <v>0</v>
      </c>
      <c r="B3" s="3" t="s">
        <v>1</v>
      </c>
      <c r="C3" s="3" t="s">
        <v>2</v>
      </c>
      <c r="D3" s="4" t="s">
        <v>3</v>
      </c>
      <c r="E3" s="1"/>
      <c r="F3" s="5"/>
      <c r="G3" s="4" t="s">
        <v>4</v>
      </c>
      <c r="H3" s="1"/>
      <c r="I3" s="5"/>
      <c r="J3" s="3" t="s">
        <v>5</v>
      </c>
      <c r="K3" s="6" t="s">
        <v>6</v>
      </c>
    </row>
    <row r="4" spans="1:11" ht="19" thickBot="1" x14ac:dyDescent="0.3">
      <c r="A4" s="7" t="s">
        <v>7</v>
      </c>
      <c r="B4" s="8" t="s">
        <v>8</v>
      </c>
      <c r="C4" s="8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10" t="s">
        <v>15</v>
      </c>
      <c r="J4" s="8" t="s">
        <v>16</v>
      </c>
      <c r="K4" s="9" t="s">
        <v>17</v>
      </c>
    </row>
    <row r="5" spans="1:11" ht="19" thickTop="1" x14ac:dyDescent="0.25">
      <c r="A5" s="11">
        <v>80</v>
      </c>
      <c r="B5" s="16">
        <f t="shared" ref="B5:B16" si="0">(A5+B$19)*B$18</f>
        <v>78400</v>
      </c>
      <c r="C5" s="19">
        <f t="shared" ref="C5:C16" si="1">SQRT(B5/B$22)</f>
        <v>2643.1838366219449</v>
      </c>
      <c r="D5" s="22">
        <v>30.5</v>
      </c>
      <c r="E5" s="22">
        <v>58.21</v>
      </c>
      <c r="F5" s="22">
        <v>86.67</v>
      </c>
      <c r="G5" s="19">
        <f>IF(D5&lt;&gt;"", D5*2/1, "")</f>
        <v>61</v>
      </c>
      <c r="H5" s="19">
        <f>IF(E5&lt;&gt;"", E5*2/2, "")</f>
        <v>58.21</v>
      </c>
      <c r="I5" s="19">
        <f>IF(F5&lt;&gt;"", F5*2/3, "")</f>
        <v>57.78</v>
      </c>
      <c r="J5" s="19">
        <f>IF(OR(G5&lt;&gt;"", H5&lt;&gt;"", I5&lt;&gt;""), AVERAGE(G5,H5,I5), AVERAGE(G5, H5))</f>
        <v>58.99666666666667</v>
      </c>
      <c r="K5" s="25">
        <f>C5/J5</f>
        <v>44.802257245414062</v>
      </c>
    </row>
    <row r="6" spans="1:11" x14ac:dyDescent="0.25">
      <c r="A6" s="12">
        <v>90</v>
      </c>
      <c r="B6" s="17">
        <f t="shared" si="0"/>
        <v>88200</v>
      </c>
      <c r="C6" s="20">
        <f t="shared" si="1"/>
        <v>2803.5198221970791</v>
      </c>
      <c r="D6" s="23">
        <v>31.2</v>
      </c>
      <c r="E6" s="23">
        <v>60.35</v>
      </c>
      <c r="F6" s="23">
        <v>89.35</v>
      </c>
      <c r="G6" s="20">
        <f t="shared" ref="G6:G16" si="2">IF(D6&lt;&gt;"", D6*2/1, "")</f>
        <v>62.4</v>
      </c>
      <c r="H6" s="20">
        <f t="shared" ref="H6:H16" si="3">IF(E6&lt;&gt;"", E6*2/2, "")</f>
        <v>60.35</v>
      </c>
      <c r="I6" s="20">
        <f t="shared" ref="I6:I16" si="4">IF(F6&lt;&gt;"", F6*2/3, "")</f>
        <v>59.566666666666663</v>
      </c>
      <c r="J6" s="20">
        <f t="shared" ref="J6:J16" si="5">IF(OR(G6&lt;&gt;"", H6&lt;&gt;"", I6&lt;&gt;""), AVERAGE(G6,H6,I6), AVERAGE(G6, H6))</f>
        <v>60.772222222222219</v>
      </c>
      <c r="K6" s="26">
        <f t="shared" ref="K6:K16" si="6">C6/J6</f>
        <v>46.131599597355724</v>
      </c>
    </row>
    <row r="7" spans="1:11" x14ac:dyDescent="0.25">
      <c r="A7" s="12">
        <v>100</v>
      </c>
      <c r="B7" s="17">
        <f t="shared" si="0"/>
        <v>98000</v>
      </c>
      <c r="C7" s="20">
        <f t="shared" si="1"/>
        <v>2955.1693678576835</v>
      </c>
      <c r="D7" s="23">
        <v>32.03</v>
      </c>
      <c r="E7" s="23">
        <v>63.2</v>
      </c>
      <c r="F7" s="23">
        <v>93.82</v>
      </c>
      <c r="G7" s="20">
        <f t="shared" si="2"/>
        <v>64.06</v>
      </c>
      <c r="H7" s="20">
        <f t="shared" si="3"/>
        <v>63.2</v>
      </c>
      <c r="I7" s="20">
        <f t="shared" si="4"/>
        <v>62.54666666666666</v>
      </c>
      <c r="J7" s="20">
        <f t="shared" si="5"/>
        <v>63.268888888888888</v>
      </c>
      <c r="K7" s="26">
        <f t="shared" si="6"/>
        <v>46.708096502966441</v>
      </c>
    </row>
    <row r="8" spans="1:11" x14ac:dyDescent="0.25">
      <c r="A8" s="12">
        <v>110</v>
      </c>
      <c r="B8" s="17">
        <f t="shared" si="0"/>
        <v>107800</v>
      </c>
      <c r="C8" s="20">
        <f t="shared" si="1"/>
        <v>3099.4077808505317</v>
      </c>
      <c r="D8" s="23">
        <v>33.14</v>
      </c>
      <c r="E8" s="23">
        <v>65.61</v>
      </c>
      <c r="F8" s="23">
        <v>98.17</v>
      </c>
      <c r="G8" s="20">
        <f t="shared" si="2"/>
        <v>66.28</v>
      </c>
      <c r="H8" s="20">
        <f t="shared" si="3"/>
        <v>65.61</v>
      </c>
      <c r="I8" s="20">
        <f t="shared" si="4"/>
        <v>65.446666666666673</v>
      </c>
      <c r="J8" s="20">
        <f t="shared" si="5"/>
        <v>65.778888888888886</v>
      </c>
      <c r="K8" s="26">
        <f t="shared" si="6"/>
        <v>47.118579124769489</v>
      </c>
    </row>
    <row r="9" spans="1:11" x14ac:dyDescent="0.25">
      <c r="A9" s="12">
        <v>120</v>
      </c>
      <c r="B9" s="17">
        <f t="shared" si="0"/>
        <v>117600</v>
      </c>
      <c r="C9" s="20">
        <f t="shared" si="1"/>
        <v>3237.2258480478713</v>
      </c>
      <c r="D9" s="23">
        <v>34.340000000000003</v>
      </c>
      <c r="E9" s="23">
        <v>68.34</v>
      </c>
      <c r="F9" s="23">
        <v>101.09</v>
      </c>
      <c r="G9" s="20">
        <f t="shared" si="2"/>
        <v>68.680000000000007</v>
      </c>
      <c r="H9" s="20">
        <f t="shared" si="3"/>
        <v>68.34</v>
      </c>
      <c r="I9" s="20">
        <f t="shared" si="4"/>
        <v>67.393333333333331</v>
      </c>
      <c r="J9" s="20">
        <f t="shared" si="5"/>
        <v>68.137777777777785</v>
      </c>
      <c r="K9" s="26">
        <f t="shared" si="6"/>
        <v>47.510000379021001</v>
      </c>
    </row>
    <row r="10" spans="1:11" x14ac:dyDescent="0.25">
      <c r="A10" s="12">
        <v>130</v>
      </c>
      <c r="B10" s="17">
        <f t="shared" si="0"/>
        <v>127400</v>
      </c>
      <c r="C10" s="20">
        <f t="shared" si="1"/>
        <v>3369.4114902370852</v>
      </c>
      <c r="D10" s="23">
        <v>35.71</v>
      </c>
      <c r="E10" s="23">
        <v>70.63</v>
      </c>
      <c r="F10" s="23">
        <v>105.14</v>
      </c>
      <c r="G10" s="20">
        <f t="shared" si="2"/>
        <v>71.42</v>
      </c>
      <c r="H10" s="20">
        <f t="shared" si="3"/>
        <v>70.63</v>
      </c>
      <c r="I10" s="20">
        <f t="shared" si="4"/>
        <v>70.093333333333334</v>
      </c>
      <c r="J10" s="20">
        <f t="shared" si="5"/>
        <v>70.714444444444453</v>
      </c>
      <c r="K10" s="26">
        <f t="shared" si="6"/>
        <v>47.64813634199168</v>
      </c>
    </row>
    <row r="11" spans="1:11" x14ac:dyDescent="0.25">
      <c r="A11" s="12">
        <v>140</v>
      </c>
      <c r="B11" s="17">
        <f t="shared" si="0"/>
        <v>137200</v>
      </c>
      <c r="C11" s="20">
        <f t="shared" si="1"/>
        <v>3496.6035505636228</v>
      </c>
      <c r="D11" s="23">
        <v>36.64</v>
      </c>
      <c r="E11" s="23">
        <v>72.510000000000005</v>
      </c>
      <c r="F11" s="23"/>
      <c r="G11" s="20">
        <f t="shared" si="2"/>
        <v>73.28</v>
      </c>
      <c r="H11" s="20">
        <f t="shared" si="3"/>
        <v>72.510000000000005</v>
      </c>
      <c r="I11" s="20" t="str">
        <f t="shared" si="4"/>
        <v/>
      </c>
      <c r="J11" s="20">
        <f t="shared" si="5"/>
        <v>72.89500000000001</v>
      </c>
      <c r="K11" s="26">
        <f t="shared" si="6"/>
        <v>47.967673373532101</v>
      </c>
    </row>
    <row r="12" spans="1:11" x14ac:dyDescent="0.25">
      <c r="A12" s="12">
        <v>150</v>
      </c>
      <c r="B12" s="17">
        <f t="shared" si="0"/>
        <v>147000</v>
      </c>
      <c r="C12" s="20">
        <f t="shared" si="1"/>
        <v>3619.3285273772221</v>
      </c>
      <c r="D12" s="23">
        <v>37.409999999999997</v>
      </c>
      <c r="E12" s="23">
        <v>74.989999999999995</v>
      </c>
      <c r="F12" s="23"/>
      <c r="G12" s="20">
        <f t="shared" si="2"/>
        <v>74.819999999999993</v>
      </c>
      <c r="H12" s="20">
        <f t="shared" si="3"/>
        <v>74.989999999999995</v>
      </c>
      <c r="I12" s="20" t="str">
        <f t="shared" si="4"/>
        <v/>
      </c>
      <c r="J12" s="20">
        <f t="shared" si="5"/>
        <v>74.905000000000001</v>
      </c>
      <c r="K12" s="26">
        <f t="shared" si="6"/>
        <v>48.31891766073322</v>
      </c>
    </row>
    <row r="13" spans="1:11" x14ac:dyDescent="0.25">
      <c r="A13" s="12">
        <v>160</v>
      </c>
      <c r="B13" s="17">
        <f t="shared" si="0"/>
        <v>156800</v>
      </c>
      <c r="C13" s="20">
        <f t="shared" si="1"/>
        <v>3738.0264295961056</v>
      </c>
      <c r="D13" s="23">
        <v>38.4</v>
      </c>
      <c r="E13" s="23">
        <v>77.209999999999994</v>
      </c>
      <c r="F13" s="23"/>
      <c r="G13" s="20">
        <f t="shared" si="2"/>
        <v>76.8</v>
      </c>
      <c r="H13" s="20">
        <f t="shared" si="3"/>
        <v>77.209999999999994</v>
      </c>
      <c r="I13" s="20" t="str">
        <f t="shared" si="4"/>
        <v/>
      </c>
      <c r="J13" s="20">
        <f t="shared" si="5"/>
        <v>77.004999999999995</v>
      </c>
      <c r="K13" s="26">
        <f t="shared" si="6"/>
        <v>48.542645667113902</v>
      </c>
    </row>
    <row r="14" spans="1:11" x14ac:dyDescent="0.25">
      <c r="A14" s="12">
        <v>170</v>
      </c>
      <c r="B14" s="17">
        <f t="shared" si="0"/>
        <v>166600</v>
      </c>
      <c r="C14" s="20">
        <f t="shared" si="1"/>
        <v>3853.0694501438006</v>
      </c>
      <c r="D14" s="23">
        <v>38.89</v>
      </c>
      <c r="E14" s="23">
        <v>79.56</v>
      </c>
      <c r="F14" s="23"/>
      <c r="G14" s="20">
        <f t="shared" si="2"/>
        <v>77.78</v>
      </c>
      <c r="H14" s="20">
        <f t="shared" si="3"/>
        <v>79.56</v>
      </c>
      <c r="I14" s="20" t="str">
        <f t="shared" si="4"/>
        <v/>
      </c>
      <c r="J14" s="20">
        <f t="shared" si="5"/>
        <v>78.67</v>
      </c>
      <c r="K14" s="26">
        <f t="shared" si="6"/>
        <v>48.977621077206059</v>
      </c>
    </row>
    <row r="15" spans="1:11" x14ac:dyDescent="0.25">
      <c r="A15" s="12">
        <v>180</v>
      </c>
      <c r="B15" s="17">
        <f t="shared" si="0"/>
        <v>176400</v>
      </c>
      <c r="C15" s="20">
        <f t="shared" si="1"/>
        <v>3964.7757549329176</v>
      </c>
      <c r="D15" s="23">
        <v>41.05</v>
      </c>
      <c r="E15" s="23">
        <v>81</v>
      </c>
      <c r="F15" s="23"/>
      <c r="G15" s="20">
        <f t="shared" si="2"/>
        <v>82.1</v>
      </c>
      <c r="H15" s="20">
        <f t="shared" si="3"/>
        <v>81</v>
      </c>
      <c r="I15" s="20" t="str">
        <f t="shared" si="4"/>
        <v/>
      </c>
      <c r="J15" s="20">
        <f t="shared" si="5"/>
        <v>81.55</v>
      </c>
      <c r="K15" s="26">
        <f t="shared" si="6"/>
        <v>48.617728447981825</v>
      </c>
    </row>
    <row r="16" spans="1:11" ht="19" thickBot="1" x14ac:dyDescent="0.3">
      <c r="A16" s="13">
        <v>190</v>
      </c>
      <c r="B16" s="18">
        <f t="shared" si="0"/>
        <v>186200</v>
      </c>
      <c r="C16" s="21">
        <f t="shared" si="1"/>
        <v>4073.4198637233953</v>
      </c>
      <c r="D16" s="24">
        <v>42</v>
      </c>
      <c r="E16" s="24">
        <v>83.98</v>
      </c>
      <c r="F16" s="24"/>
      <c r="G16" s="21">
        <f t="shared" si="2"/>
        <v>84</v>
      </c>
      <c r="H16" s="21">
        <f t="shared" si="3"/>
        <v>83.98</v>
      </c>
      <c r="I16" s="21" t="str">
        <f t="shared" si="4"/>
        <v/>
      </c>
      <c r="J16" s="21">
        <f t="shared" si="5"/>
        <v>83.990000000000009</v>
      </c>
      <c r="K16" s="27">
        <f t="shared" si="6"/>
        <v>48.498867290432131</v>
      </c>
    </row>
    <row r="17" spans="1:11" ht="20" thickTop="1" thickBot="1" x14ac:dyDescent="0.3">
      <c r="A17" s="14"/>
      <c r="B17" s="15"/>
      <c r="C17" s="15"/>
      <c r="D17" s="15"/>
      <c r="E17" s="15"/>
      <c r="F17" s="15"/>
      <c r="G17" s="15"/>
      <c r="H17" s="15"/>
      <c r="I17" s="15"/>
      <c r="J17" s="15" t="s">
        <v>23</v>
      </c>
      <c r="K17" s="28">
        <f>AVERAGE(K5:K16)</f>
        <v>47.570176892376473</v>
      </c>
    </row>
    <row r="18" spans="1:11" ht="19" thickTop="1" x14ac:dyDescent="0.25">
      <c r="A18" t="s">
        <v>18</v>
      </c>
      <c r="B18">
        <v>980</v>
      </c>
      <c r="C18" t="s">
        <v>28</v>
      </c>
    </row>
    <row r="19" spans="1:11" x14ac:dyDescent="0.25">
      <c r="A19" t="s">
        <v>19</v>
      </c>
      <c r="B19">
        <v>0</v>
      </c>
      <c r="C19" t="s">
        <v>29</v>
      </c>
    </row>
    <row r="20" spans="1:11" x14ac:dyDescent="0.25">
      <c r="A20" t="s">
        <v>20</v>
      </c>
      <c r="B20">
        <v>0.04</v>
      </c>
      <c r="C20" t="s">
        <v>30</v>
      </c>
    </row>
    <row r="21" spans="1:11" x14ac:dyDescent="0.25">
      <c r="A21" t="s">
        <v>22</v>
      </c>
      <c r="B21">
        <v>8.93</v>
      </c>
      <c r="C21" t="s">
        <v>31</v>
      </c>
    </row>
    <row r="22" spans="1:11" x14ac:dyDescent="0.25">
      <c r="A22" t="s">
        <v>21</v>
      </c>
      <c r="B22">
        <f>PI()*(B20/2)^2*B21</f>
        <v>1.122176895862274E-2</v>
      </c>
      <c r="C22" t="s">
        <v>32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ユーザー</dc:creator>
  <cp:lastModifiedBy>小川　凜久</cp:lastModifiedBy>
  <dcterms:created xsi:type="dcterms:W3CDTF">2017-12-08T06:51:56Z</dcterms:created>
  <dcterms:modified xsi:type="dcterms:W3CDTF">2025-08-29T11:14:44Z</dcterms:modified>
</cp:coreProperties>
</file>