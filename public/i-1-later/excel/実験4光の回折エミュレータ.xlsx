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ogawarinkyuu/Desktop/"/>
    </mc:Choice>
  </mc:AlternateContent>
  <xr:revisionPtr revIDLastSave="0" documentId="13_ncr:1_{4378B93D-B1B1-0349-95F1-CF6222FFB9BE}" xr6:coauthVersionLast="47" xr6:coauthVersionMax="47" xr10:uidLastSave="{00000000-0000-0000-0000-000000000000}"/>
  <bookViews>
    <workbookView xWindow="4440" yWindow="760" windowWidth="19900" windowHeight="14460" tabRatio="500" xr2:uid="{00000000-000D-0000-FFFF-FFFF00000000}"/>
  </bookViews>
  <sheets>
    <sheet name="Sheet1" sheetId="1" r:id="rId1"/>
  </sheets>
  <calcPr calcId="191029" concurrentCalc="0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2" i="1" l="1"/>
  <c r="D33" i="1"/>
  <c r="D34" i="1"/>
  <c r="D35" i="1"/>
  <c r="D36" i="1"/>
  <c r="D37" i="1"/>
  <c r="D38" i="1"/>
  <c r="D31" i="1"/>
  <c r="D20" i="1"/>
  <c r="D21" i="1"/>
  <c r="D22" i="1"/>
  <c r="D23" i="1"/>
  <c r="D24" i="1"/>
  <c r="D25" i="1"/>
  <c r="D26" i="1"/>
  <c r="D19" i="1"/>
  <c r="D8" i="1"/>
  <c r="D9" i="1"/>
  <c r="D10" i="1"/>
  <c r="D11" i="1"/>
  <c r="D7" i="1"/>
  <c r="I5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7" i="1"/>
  <c r="I7" i="1"/>
  <c r="J7" i="1"/>
</calcChain>
</file>

<file path=xl/sharedStrings.xml><?xml version="1.0" encoding="utf-8"?>
<sst xmlns="http://schemas.openxmlformats.org/spreadsheetml/2006/main" count="36" uniqueCount="18">
  <si>
    <t>n</t>
    <phoneticPr fontId="1"/>
  </si>
  <si>
    <t>xn-(mm)</t>
    <phoneticPr fontId="1"/>
  </si>
  <si>
    <t>xn+(mm)</t>
    <phoneticPr fontId="1"/>
  </si>
  <si>
    <t>xn</t>
    <phoneticPr fontId="1"/>
  </si>
  <si>
    <t>0.2mm</t>
    <phoneticPr fontId="1"/>
  </si>
  <si>
    <t>0.3mm</t>
    <phoneticPr fontId="1"/>
  </si>
  <si>
    <t>0.4mm</t>
    <phoneticPr fontId="1"/>
  </si>
  <si>
    <t>δ(deg)</t>
    <phoneticPr fontId="1"/>
  </si>
  <si>
    <t>θ(deg)</t>
    <phoneticPr fontId="1"/>
  </si>
  <si>
    <t>sinθ</t>
    <phoneticPr fontId="1"/>
  </si>
  <si>
    <t>xn(mm)</t>
    <phoneticPr fontId="1"/>
  </si>
  <si>
    <t>前R(mm)</t>
    <rPh sb="0" eb="1">
      <t>マ</t>
    </rPh>
    <phoneticPr fontId="1"/>
  </si>
  <si>
    <t>後R(mm)</t>
    <rPh sb="0" eb="1">
      <t>ウシr</t>
    </rPh>
    <phoneticPr fontId="1"/>
  </si>
  <si>
    <t>R平均(mm)</t>
    <rPh sb="1" eb="3">
      <t>ヘ</t>
    </rPh>
    <phoneticPr fontId="1"/>
  </si>
  <si>
    <t>光の回折エミュレータ</t>
    <rPh sb="0" eb="1">
      <t>ヒカリ</t>
    </rPh>
    <rPh sb="2" eb="4">
      <t>カイセツ</t>
    </rPh>
    <phoneticPr fontId="1"/>
  </si>
  <si>
    <t>■</t>
    <phoneticPr fontId="1"/>
  </si>
  <si>
    <t>：入力値</t>
    <rPh sb="1" eb="4">
      <t>ニュウリョクチ</t>
    </rPh>
    <phoneticPr fontId="1"/>
  </si>
  <si>
    <t>：TAが欲している値(今回はない)</t>
    <rPh sb="4" eb="5">
      <t>ホッ</t>
    </rPh>
    <rPh sb="9" eb="10">
      <t>アタイ</t>
    </rPh>
    <rPh sb="11" eb="13">
      <t>コンカイ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</si>
</sst>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6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u/>
      <sz val="12"/>
      <color theme="10"/>
      <name val="Yu Gothic"/>
      <family val="2"/>
      <charset val="128"/>
      <scheme val="minor"/>
    </font>
    <font>
      <u/>
      <sz val="12"/>
      <color theme="11"/>
      <name val="Yu Gothic"/>
      <family val="2"/>
      <charset val="128"/>
      <scheme val="minor"/>
    </font>
    <font>
      <sz val="12"/>
      <color theme="8" tint="0.59999389629810485"/>
      <name val="Yu Gothic"/>
      <family val="2"/>
      <charset val="128"/>
      <scheme val="minor"/>
    </font>
    <font>
      <sz val="12"/>
      <color theme="7" tint="0.59999389629810485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0" borderId="0" xfId="0" applyFont="1"/>
  </cellXfs>
  <cellStyles count="5">
    <cellStyle name="ハイパーリンク" xfId="1" builtinId="8" hidden="1"/>
    <cellStyle name="ハイパーリンク" xfId="3" builtinId="8" hidden="1"/>
    <cellStyle name="標準" xfId="0" builtinId="0"/>
    <cellStyle name="表示済みのハイパーリンク" xfId="2" builtinId="9" hidden="1"/>
    <cellStyle name="表示済みのハイパーリンク" xfId="4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　：反射型回折格子による回折：</a:t>
            </a:r>
            <a:r>
              <a:rPr lang="en-US" altLang="ja-JP" sz="1100"/>
              <a:t>sinθ</a:t>
            </a:r>
            <a:r>
              <a:rPr lang="ja-JP" altLang="en-US" sz="1100"/>
              <a:t>と回折次数</a:t>
            </a:r>
            <a:r>
              <a:rPr lang="en-US" altLang="ja-JP" sz="1100"/>
              <a:t>n</a:t>
            </a:r>
            <a:r>
              <a:rPr lang="ja-JP" altLang="en-US" sz="1100"/>
              <a:t>の関係</a:t>
            </a:r>
          </a:p>
        </c:rich>
      </c:tx>
      <c:layout>
        <c:manualLayout>
          <c:xMode val="edge"/>
          <c:yMode val="edge"/>
          <c:x val="0.13180694444444399"/>
          <c:y val="0.90966269841269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6032281746031701"/>
          <c:y val="3.2165873015873002E-2"/>
          <c:w val="0.79542876984126998"/>
          <c:h val="0.7816095238095239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Sheet1!$F$7:$F$19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Sheet1!$J$7:$J$19</c:f>
              <c:numCache>
                <c:formatCode>General</c:formatCode>
                <c:ptCount val="13"/>
                <c:pt idx="0">
                  <c:v>0.99995582968769492</c:v>
                </c:pt>
                <c:pt idx="1">
                  <c:v>0.99986103483405009</c:v>
                </c:pt>
                <c:pt idx="2">
                  <c:v>0.99966584242113421</c:v>
                </c:pt>
                <c:pt idx="3">
                  <c:v>0.99954749769867057</c:v>
                </c:pt>
                <c:pt idx="4">
                  <c:v>0.9994285303978705</c:v>
                </c:pt>
                <c:pt idx="5">
                  <c:v>0.9993108443074652</c:v>
                </c:pt>
                <c:pt idx="6">
                  <c:v>0.99918431286231124</c:v>
                </c:pt>
                <c:pt idx="7">
                  <c:v>0.99905601392795895</c:v>
                </c:pt>
                <c:pt idx="8">
                  <c:v>0.99891384062698829</c:v>
                </c:pt>
                <c:pt idx="9">
                  <c:v>0.99879158427009784</c:v>
                </c:pt>
                <c:pt idx="10">
                  <c:v>0.99867326568894232</c:v>
                </c:pt>
                <c:pt idx="11">
                  <c:v>0.99850893203065849</c:v>
                </c:pt>
                <c:pt idx="12">
                  <c:v>0.99839229824297704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E-43C7-B13A-B9275DCC8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43165424"/>
        <c:axId val="-343163792"/>
      </c:scatterChart>
      <c:valAx>
        <c:axId val="-343165424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343163792"/>
        <c:crosses val="autoZero"/>
        <c:crossBetween val="midCat"/>
        <c:majorUnit val="1"/>
      </c:valAx>
      <c:valAx>
        <c:axId val="-3431637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sinθ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34316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　：単スリットによる回折：暗点までの距離</a:t>
            </a:r>
            <a:r>
              <a:rPr lang="en-US" altLang="ja-JP" sz="1100"/>
              <a:t>x</a:t>
            </a:r>
            <a:r>
              <a:rPr lang="ja-JP" altLang="en-US" sz="1100"/>
              <a:t>と回折次数</a:t>
            </a:r>
            <a:r>
              <a:rPr lang="en-US" altLang="ja-JP" sz="1100"/>
              <a:t>n</a:t>
            </a:r>
            <a:r>
              <a:rPr lang="ja-JP" altLang="en-US" sz="1100"/>
              <a:t>の関係</a:t>
            </a:r>
          </a:p>
        </c:rich>
      </c:tx>
      <c:layout>
        <c:manualLayout>
          <c:xMode val="edge"/>
          <c:yMode val="edge"/>
          <c:x val="0.127310185185185"/>
          <c:y val="0.907995555555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917814814814801"/>
          <c:y val="0.117874814814815"/>
          <c:w val="0.84657888888888899"/>
          <c:h val="0.67568333333333297"/>
        </c:manualLayout>
      </c:layout>
      <c:scatterChart>
        <c:scatterStyle val="lineMarker"/>
        <c:varyColors val="0"/>
        <c:ser>
          <c:idx val="0"/>
          <c:order val="0"/>
          <c:tx>
            <c:v>0.20mm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1"/>
            <c:dispRSqr val="0"/>
            <c:dispEq val="0"/>
          </c:trendline>
          <c:yVal>
            <c:numRef>
              <c:f>Sheet1!$D$7:$D$14</c:f>
              <c:numCache>
                <c:formatCode>0.0000000</c:formatCode>
                <c:ptCount val="8"/>
                <c:pt idx="0">
                  <c:v>6.1</c:v>
                </c:pt>
                <c:pt idx="1">
                  <c:v>9.8000000000000007</c:v>
                </c:pt>
                <c:pt idx="2">
                  <c:v>14.3</c:v>
                </c:pt>
                <c:pt idx="3">
                  <c:v>19.3</c:v>
                </c:pt>
                <c:pt idx="4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6-4BFC-B7A9-35923FD80EBF}"/>
            </c:ext>
          </c:extLst>
        </c:ser>
        <c:ser>
          <c:idx val="1"/>
          <c:order val="1"/>
          <c:tx>
            <c:v>0.30mm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backward val="1"/>
            <c:dispRSqr val="0"/>
            <c:dispEq val="0"/>
          </c:trendline>
          <c:yVal>
            <c:numRef>
              <c:f>Sheet1!$D$19:$D$26</c:f>
              <c:numCache>
                <c:formatCode>0.0000000</c:formatCode>
                <c:ptCount val="8"/>
                <c:pt idx="0">
                  <c:v>2.9000000000000004</c:v>
                </c:pt>
                <c:pt idx="1">
                  <c:v>5.0999999999999996</c:v>
                </c:pt>
                <c:pt idx="2">
                  <c:v>7.3</c:v>
                </c:pt>
                <c:pt idx="3">
                  <c:v>9.1999999999999993</c:v>
                </c:pt>
                <c:pt idx="4">
                  <c:v>11.5</c:v>
                </c:pt>
                <c:pt idx="5">
                  <c:v>13.75</c:v>
                </c:pt>
                <c:pt idx="6">
                  <c:v>15.600000000000001</c:v>
                </c:pt>
                <c:pt idx="7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46-4BFC-B7A9-35923FD80EBF}"/>
            </c:ext>
          </c:extLst>
        </c:ser>
        <c:ser>
          <c:idx val="2"/>
          <c:order val="2"/>
          <c:tx>
            <c:v>0.40mm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"/>
            <c:backward val="1"/>
            <c:dispRSqr val="0"/>
            <c:dispEq val="0"/>
          </c:trendline>
          <c:yVal>
            <c:numRef>
              <c:f>Sheet1!$D$31:$D$38</c:f>
              <c:numCache>
                <c:formatCode>0.0000000</c:formatCode>
                <c:ptCount val="8"/>
                <c:pt idx="0">
                  <c:v>2.6</c:v>
                </c:pt>
                <c:pt idx="1">
                  <c:v>4.5999999999999996</c:v>
                </c:pt>
                <c:pt idx="2">
                  <c:v>7.05</c:v>
                </c:pt>
                <c:pt idx="3">
                  <c:v>8.8000000000000007</c:v>
                </c:pt>
                <c:pt idx="4">
                  <c:v>11.05</c:v>
                </c:pt>
                <c:pt idx="5">
                  <c:v>12.8</c:v>
                </c:pt>
                <c:pt idx="6">
                  <c:v>14.75</c:v>
                </c:pt>
                <c:pt idx="7">
                  <c:v>16.8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46-4BFC-B7A9-35923FD80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72242320"/>
        <c:axId val="-272244800"/>
      </c:scatterChart>
      <c:valAx>
        <c:axId val="-272242320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72244800"/>
        <c:crosses val="autoZero"/>
        <c:crossBetween val="midCat"/>
      </c:valAx>
      <c:valAx>
        <c:axId val="-2722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x(mm)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27224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7859425925925901"/>
          <c:y val="0.21589296296296301"/>
          <c:w val="0.14477971503562101"/>
          <c:h val="0.11831074074074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39915</xdr:colOff>
      <xdr:row>41</xdr:row>
      <xdr:rowOff>224971</xdr:rowOff>
    </xdr:from>
    <xdr:to>
      <xdr:col>9</xdr:col>
      <xdr:colOff>558715</xdr:colOff>
      <xdr:row>61</xdr:row>
      <xdr:rowOff>184972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33565</xdr:colOff>
      <xdr:row>20</xdr:row>
      <xdr:rowOff>36740</xdr:rowOff>
    </xdr:from>
    <xdr:to>
      <xdr:col>9</xdr:col>
      <xdr:colOff>912365</xdr:colOff>
      <xdr:row>41</xdr:row>
      <xdr:rowOff>100471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showRuler="0" zoomScale="118" zoomScaleNormal="70" workbookViewId="0">
      <selection activeCell="B46" sqref="B46"/>
    </sheetView>
  </sheetViews>
  <sheetFormatPr baseColWidth="10" defaultColWidth="12.85546875" defaultRowHeight="18" x14ac:dyDescent="0.25"/>
  <sheetData>
    <row r="1" spans="1:10" x14ac:dyDescent="0.25">
      <c r="A1" t="s">
        <v>14</v>
      </c>
      <c r="D1" s="5" t="s">
        <v>15</v>
      </c>
      <c r="E1" t="s">
        <v>16</v>
      </c>
    </row>
    <row r="2" spans="1:10" x14ac:dyDescent="0.25">
      <c r="D2" s="4" t="s">
        <v>15</v>
      </c>
      <c r="E2" t="s">
        <v>17</v>
      </c>
    </row>
    <row r="4" spans="1:10" x14ac:dyDescent="0.25">
      <c r="A4" t="s">
        <v>4</v>
      </c>
      <c r="B4" t="s">
        <v>11</v>
      </c>
      <c r="C4" t="s">
        <v>12</v>
      </c>
      <c r="D4" t="s">
        <v>13</v>
      </c>
      <c r="G4" t="s">
        <v>11</v>
      </c>
      <c r="H4" t="s">
        <v>12</v>
      </c>
      <c r="I4" t="s">
        <v>13</v>
      </c>
    </row>
    <row r="5" spans="1:10" x14ac:dyDescent="0.25">
      <c r="B5">
        <v>116.8</v>
      </c>
      <c r="C5">
        <v>116.7</v>
      </c>
      <c r="G5">
        <v>989.8</v>
      </c>
      <c r="H5">
        <v>988.9</v>
      </c>
      <c r="I5">
        <f>AVERAGE(G5:H5)</f>
        <v>989.34999999999991</v>
      </c>
    </row>
    <row r="6" spans="1:10" x14ac:dyDescent="0.25">
      <c r="A6" t="s">
        <v>0</v>
      </c>
      <c r="B6" t="s">
        <v>1</v>
      </c>
      <c r="C6" t="s">
        <v>2</v>
      </c>
      <c r="D6" t="s">
        <v>3</v>
      </c>
      <c r="F6" t="s">
        <v>0</v>
      </c>
      <c r="G6" t="s">
        <v>10</v>
      </c>
      <c r="H6" t="s">
        <v>7</v>
      </c>
      <c r="I6" t="s">
        <v>8</v>
      </c>
      <c r="J6" t="s">
        <v>9</v>
      </c>
    </row>
    <row r="7" spans="1:10" x14ac:dyDescent="0.25">
      <c r="A7">
        <v>1</v>
      </c>
      <c r="B7" s="2">
        <v>6</v>
      </c>
      <c r="C7" s="2">
        <v>6.2</v>
      </c>
      <c r="D7" s="1">
        <f>AVERAGE(B7,C7)</f>
        <v>6.1</v>
      </c>
      <c r="F7">
        <v>0</v>
      </c>
      <c r="G7" s="2">
        <v>18.600000000000001</v>
      </c>
      <c r="H7">
        <f t="shared" ref="H7:H19" si="0">DEGREES(ATAN(G7/$I$5))</f>
        <v>1.0770465141226553</v>
      </c>
      <c r="I7">
        <f>90-H7/2</f>
        <v>89.461476742938672</v>
      </c>
      <c r="J7">
        <f>SIN(RADIANS(I7))</f>
        <v>0.99995582968769492</v>
      </c>
    </row>
    <row r="8" spans="1:10" x14ac:dyDescent="0.25">
      <c r="A8">
        <v>2</v>
      </c>
      <c r="B8" s="2">
        <v>9</v>
      </c>
      <c r="C8" s="2">
        <v>10.6</v>
      </c>
      <c r="D8" s="1">
        <f t="shared" ref="D8:D11" si="1">AVERAGE(B8,C8)</f>
        <v>9.8000000000000007</v>
      </c>
      <c r="F8">
        <v>1</v>
      </c>
      <c r="G8" s="2">
        <v>33</v>
      </c>
      <c r="H8">
        <f t="shared" si="0"/>
        <v>1.9104058113152407</v>
      </c>
      <c r="I8">
        <f t="shared" ref="I8:I19" si="2">90-H8/2</f>
        <v>89.044797094342385</v>
      </c>
      <c r="J8">
        <f t="shared" ref="J8:J19" si="3">SIN(RADIANS(I8))</f>
        <v>0.99986103483405009</v>
      </c>
    </row>
    <row r="9" spans="1:10" x14ac:dyDescent="0.25">
      <c r="A9">
        <v>3</v>
      </c>
      <c r="B9" s="2">
        <v>12.9</v>
      </c>
      <c r="C9" s="2">
        <v>15.7</v>
      </c>
      <c r="D9" s="1">
        <f t="shared" si="1"/>
        <v>14.3</v>
      </c>
      <c r="F9">
        <v>2</v>
      </c>
      <c r="G9" s="2">
        <v>51.2</v>
      </c>
      <c r="H9">
        <f t="shared" si="0"/>
        <v>2.9624796653890164</v>
      </c>
      <c r="I9">
        <f t="shared" si="2"/>
        <v>88.518760167305487</v>
      </c>
      <c r="J9">
        <f t="shared" si="3"/>
        <v>0.99966584242113421</v>
      </c>
    </row>
    <row r="10" spans="1:10" x14ac:dyDescent="0.25">
      <c r="A10">
        <v>4</v>
      </c>
      <c r="B10" s="2">
        <v>17.5</v>
      </c>
      <c r="C10" s="2">
        <v>21.1</v>
      </c>
      <c r="D10" s="1">
        <f t="shared" si="1"/>
        <v>19.3</v>
      </c>
      <c r="F10">
        <v>3</v>
      </c>
      <c r="G10" s="2">
        <v>59.6</v>
      </c>
      <c r="H10">
        <f t="shared" si="0"/>
        <v>3.4474216127946224</v>
      </c>
      <c r="I10">
        <f t="shared" si="2"/>
        <v>88.276289193602693</v>
      </c>
      <c r="J10">
        <f t="shared" si="3"/>
        <v>0.99954749769867057</v>
      </c>
    </row>
    <row r="11" spans="1:10" x14ac:dyDescent="0.25">
      <c r="A11">
        <v>5</v>
      </c>
      <c r="B11" s="2">
        <v>21.2</v>
      </c>
      <c r="C11" s="2">
        <v>27</v>
      </c>
      <c r="D11" s="1">
        <f t="shared" si="1"/>
        <v>24.1</v>
      </c>
      <c r="F11">
        <v>4</v>
      </c>
      <c r="G11" s="2">
        <v>67</v>
      </c>
      <c r="H11">
        <f t="shared" si="0"/>
        <v>3.87422533957875</v>
      </c>
      <c r="I11">
        <f t="shared" si="2"/>
        <v>88.062887330210629</v>
      </c>
      <c r="J11">
        <f t="shared" si="3"/>
        <v>0.9994285303978705</v>
      </c>
    </row>
    <row r="12" spans="1:10" x14ac:dyDescent="0.25">
      <c r="A12">
        <v>6</v>
      </c>
      <c r="B12" s="3">
        <v>27</v>
      </c>
      <c r="C12" s="3"/>
      <c r="D12" s="1"/>
      <c r="F12">
        <v>5</v>
      </c>
      <c r="G12" s="2">
        <v>73.599999999999994</v>
      </c>
      <c r="H12">
        <f t="shared" si="0"/>
        <v>4.2545266105159358</v>
      </c>
      <c r="I12">
        <f t="shared" si="2"/>
        <v>87.872736694742031</v>
      </c>
      <c r="J12">
        <f t="shared" si="3"/>
        <v>0.9993108443074652</v>
      </c>
    </row>
    <row r="13" spans="1:10" x14ac:dyDescent="0.25">
      <c r="A13">
        <v>7</v>
      </c>
      <c r="B13" s="3">
        <v>36.799999999999997</v>
      </c>
      <c r="C13" s="3"/>
      <c r="D13" s="1"/>
      <c r="F13">
        <v>6</v>
      </c>
      <c r="G13" s="3">
        <v>80.099999999999994</v>
      </c>
      <c r="H13">
        <f t="shared" si="0"/>
        <v>4.6286991933721211</v>
      </c>
      <c r="I13">
        <f t="shared" si="2"/>
        <v>87.685650403313943</v>
      </c>
      <c r="J13">
        <f t="shared" si="3"/>
        <v>0.99918431286231124</v>
      </c>
    </row>
    <row r="14" spans="1:10" x14ac:dyDescent="0.25">
      <c r="A14">
        <v>8</v>
      </c>
      <c r="B14" s="3">
        <v>45</v>
      </c>
      <c r="C14" s="3"/>
      <c r="D14" s="1"/>
      <c r="F14">
        <v>7</v>
      </c>
      <c r="G14" s="3">
        <v>86.2</v>
      </c>
      <c r="H14">
        <f t="shared" si="0"/>
        <v>4.9794868419583711</v>
      </c>
      <c r="I14">
        <f t="shared" si="2"/>
        <v>87.510256579020819</v>
      </c>
      <c r="J14">
        <f t="shared" si="3"/>
        <v>0.99905601392795895</v>
      </c>
    </row>
    <row r="15" spans="1:10" x14ac:dyDescent="0.25">
      <c r="F15">
        <v>8</v>
      </c>
      <c r="G15" s="3">
        <v>92.5</v>
      </c>
      <c r="H15">
        <f t="shared" si="0"/>
        <v>5.3413830054714833</v>
      </c>
      <c r="I15">
        <f t="shared" si="2"/>
        <v>87.329308497264265</v>
      </c>
      <c r="J15">
        <f t="shared" si="3"/>
        <v>0.99891384062698829</v>
      </c>
    </row>
    <row r="16" spans="1:10" x14ac:dyDescent="0.25">
      <c r="A16" t="s">
        <v>5</v>
      </c>
      <c r="B16" t="s">
        <v>11</v>
      </c>
      <c r="C16" t="s">
        <v>12</v>
      </c>
      <c r="D16" t="s">
        <v>13</v>
      </c>
      <c r="F16">
        <v>9</v>
      </c>
      <c r="G16" s="3">
        <v>97.6</v>
      </c>
      <c r="H16">
        <f t="shared" si="0"/>
        <v>5.6340351807898665</v>
      </c>
      <c r="I16">
        <f t="shared" si="2"/>
        <v>87.18298240960506</v>
      </c>
      <c r="J16">
        <f t="shared" si="3"/>
        <v>0.99879158427009784</v>
      </c>
    </row>
    <row r="17" spans="1:10" x14ac:dyDescent="0.25">
      <c r="B17">
        <v>1166</v>
      </c>
      <c r="C17">
        <v>1166</v>
      </c>
      <c r="F17">
        <v>10</v>
      </c>
      <c r="G17" s="3">
        <v>102.3</v>
      </c>
      <c r="H17">
        <f t="shared" si="0"/>
        <v>5.9034737170908347</v>
      </c>
      <c r="I17">
        <f t="shared" si="2"/>
        <v>87.048263141454584</v>
      </c>
      <c r="J17">
        <f t="shared" si="3"/>
        <v>0.99867326568894232</v>
      </c>
    </row>
    <row r="18" spans="1:10" x14ac:dyDescent="0.25">
      <c r="A18" t="s">
        <v>0</v>
      </c>
      <c r="B18" t="s">
        <v>1</v>
      </c>
      <c r="C18" t="s">
        <v>2</v>
      </c>
      <c r="D18" t="s">
        <v>3</v>
      </c>
      <c r="F18">
        <v>11</v>
      </c>
      <c r="G18" s="3">
        <v>108.5</v>
      </c>
      <c r="H18">
        <f t="shared" si="0"/>
        <v>6.2585009815007044</v>
      </c>
      <c r="I18">
        <f t="shared" si="2"/>
        <v>86.870749509249649</v>
      </c>
      <c r="J18">
        <f t="shared" si="3"/>
        <v>0.99850893203065849</v>
      </c>
    </row>
    <row r="19" spans="1:10" x14ac:dyDescent="0.25">
      <c r="A19">
        <v>1</v>
      </c>
      <c r="B19" s="2">
        <v>3.6</v>
      </c>
      <c r="C19" s="2">
        <v>2.2000000000000002</v>
      </c>
      <c r="D19" s="1">
        <f>AVERAGE(B19,C19)</f>
        <v>2.9000000000000004</v>
      </c>
      <c r="F19">
        <v>12</v>
      </c>
      <c r="G19" s="3">
        <v>112.7</v>
      </c>
      <c r="H19">
        <f t="shared" si="0"/>
        <v>6.4987311527383138</v>
      </c>
      <c r="I19">
        <f t="shared" si="2"/>
        <v>86.750634423630842</v>
      </c>
      <c r="J19">
        <f t="shared" si="3"/>
        <v>0.99839229824297704</v>
      </c>
    </row>
    <row r="20" spans="1:10" x14ac:dyDescent="0.25">
      <c r="A20">
        <v>2</v>
      </c>
      <c r="B20" s="2">
        <v>5.2</v>
      </c>
      <c r="C20" s="2">
        <v>5</v>
      </c>
      <c r="D20" s="1">
        <f t="shared" ref="D20:D26" si="4">AVERAGE(B20,C20)</f>
        <v>5.0999999999999996</v>
      </c>
    </row>
    <row r="21" spans="1:10" x14ac:dyDescent="0.25">
      <c r="A21">
        <v>3</v>
      </c>
      <c r="B21" s="2">
        <v>7.6</v>
      </c>
      <c r="C21" s="2">
        <v>7</v>
      </c>
      <c r="D21" s="1">
        <f t="shared" si="4"/>
        <v>7.3</v>
      </c>
    </row>
    <row r="22" spans="1:10" x14ac:dyDescent="0.25">
      <c r="A22">
        <v>4</v>
      </c>
      <c r="B22" s="2">
        <v>9.9</v>
      </c>
      <c r="C22" s="2">
        <v>8.5</v>
      </c>
      <c r="D22" s="1">
        <f t="shared" si="4"/>
        <v>9.1999999999999993</v>
      </c>
    </row>
    <row r="23" spans="1:10" x14ac:dyDescent="0.25">
      <c r="A23">
        <v>5</v>
      </c>
      <c r="B23" s="2">
        <v>12</v>
      </c>
      <c r="C23" s="2">
        <v>11</v>
      </c>
      <c r="D23" s="1">
        <f t="shared" si="4"/>
        <v>11.5</v>
      </c>
    </row>
    <row r="24" spans="1:10" x14ac:dyDescent="0.25">
      <c r="A24">
        <v>6</v>
      </c>
      <c r="B24" s="3">
        <v>14.8</v>
      </c>
      <c r="C24" s="3">
        <v>12.7</v>
      </c>
      <c r="D24" s="1">
        <f t="shared" si="4"/>
        <v>13.75</v>
      </c>
    </row>
    <row r="25" spans="1:10" x14ac:dyDescent="0.25">
      <c r="A25">
        <v>7</v>
      </c>
      <c r="B25" s="3">
        <v>16.600000000000001</v>
      </c>
      <c r="C25" s="3">
        <v>14.6</v>
      </c>
      <c r="D25" s="1">
        <f t="shared" si="4"/>
        <v>15.600000000000001</v>
      </c>
    </row>
    <row r="26" spans="1:10" x14ac:dyDescent="0.25">
      <c r="A26">
        <v>8</v>
      </c>
      <c r="B26" s="3">
        <v>19.5</v>
      </c>
      <c r="C26" s="3">
        <v>16.3</v>
      </c>
      <c r="D26" s="1">
        <f t="shared" si="4"/>
        <v>17.899999999999999</v>
      </c>
    </row>
    <row r="28" spans="1:10" x14ac:dyDescent="0.25">
      <c r="A28" t="s">
        <v>6</v>
      </c>
      <c r="B28" t="s">
        <v>11</v>
      </c>
      <c r="C28" t="s">
        <v>12</v>
      </c>
      <c r="D28" t="s">
        <v>13</v>
      </c>
    </row>
    <row r="29" spans="1:10" x14ac:dyDescent="0.25">
      <c r="B29">
        <v>1171.5</v>
      </c>
      <c r="C29">
        <v>1172.5</v>
      </c>
    </row>
    <row r="30" spans="1:10" x14ac:dyDescent="0.25">
      <c r="A30" t="s">
        <v>0</v>
      </c>
      <c r="B30" t="s">
        <v>1</v>
      </c>
      <c r="C30" t="s">
        <v>2</v>
      </c>
    </row>
    <row r="31" spans="1:10" x14ac:dyDescent="0.25">
      <c r="A31" s="1">
        <v>1</v>
      </c>
      <c r="B31" s="2">
        <v>2.2000000000000002</v>
      </c>
      <c r="C31" s="2">
        <v>3</v>
      </c>
      <c r="D31" s="1">
        <f t="shared" ref="D31:D38" si="5">AVERAGE(B31,C31)</f>
        <v>2.6</v>
      </c>
    </row>
    <row r="32" spans="1:10" x14ac:dyDescent="0.25">
      <c r="A32" s="1">
        <v>2</v>
      </c>
      <c r="B32" s="2">
        <v>4.0999999999999996</v>
      </c>
      <c r="C32" s="2">
        <v>5.0999999999999996</v>
      </c>
      <c r="D32" s="1">
        <f t="shared" si="5"/>
        <v>4.5999999999999996</v>
      </c>
    </row>
    <row r="33" spans="1:4" x14ac:dyDescent="0.25">
      <c r="A33" s="1">
        <v>3</v>
      </c>
      <c r="B33" s="2">
        <v>6.8</v>
      </c>
      <c r="C33" s="2">
        <v>7.3</v>
      </c>
      <c r="D33" s="1">
        <f t="shared" si="5"/>
        <v>7.05</v>
      </c>
    </row>
    <row r="34" spans="1:4" x14ac:dyDescent="0.25">
      <c r="A34" s="1">
        <v>4</v>
      </c>
      <c r="B34" s="2">
        <v>8.6</v>
      </c>
      <c r="C34" s="2">
        <v>9</v>
      </c>
      <c r="D34" s="1">
        <f t="shared" si="5"/>
        <v>8.8000000000000007</v>
      </c>
    </row>
    <row r="35" spans="1:4" x14ac:dyDescent="0.25">
      <c r="A35" s="1">
        <v>5</v>
      </c>
      <c r="B35" s="2">
        <v>10.9</v>
      </c>
      <c r="C35" s="2">
        <v>11.2</v>
      </c>
      <c r="D35" s="1">
        <f t="shared" si="5"/>
        <v>11.05</v>
      </c>
    </row>
    <row r="36" spans="1:4" x14ac:dyDescent="0.25">
      <c r="A36" s="1">
        <v>6</v>
      </c>
      <c r="B36" s="3">
        <v>12.6</v>
      </c>
      <c r="C36" s="3">
        <v>13</v>
      </c>
      <c r="D36" s="1">
        <f t="shared" si="5"/>
        <v>12.8</v>
      </c>
    </row>
    <row r="37" spans="1:4" x14ac:dyDescent="0.25">
      <c r="A37" s="1">
        <v>7</v>
      </c>
      <c r="B37" s="3">
        <v>14.5</v>
      </c>
      <c r="C37" s="3">
        <v>15</v>
      </c>
      <c r="D37" s="1">
        <f t="shared" si="5"/>
        <v>14.75</v>
      </c>
    </row>
    <row r="38" spans="1:4" x14ac:dyDescent="0.25">
      <c r="A38" s="1">
        <v>8</v>
      </c>
      <c r="B38" s="3">
        <v>16.8</v>
      </c>
      <c r="C38" s="3">
        <v>16.8</v>
      </c>
      <c r="D38" s="1">
        <f t="shared" si="5"/>
        <v>16.8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dcterms:created xsi:type="dcterms:W3CDTF">2017-10-20T06:11:23Z</dcterms:created>
  <dcterms:modified xsi:type="dcterms:W3CDTF">2025-09-15T09:17:18Z</dcterms:modified>
</cp:coreProperties>
</file>