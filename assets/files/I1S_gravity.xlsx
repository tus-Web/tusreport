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kubuntu\Programming\repositories\itc-web\tusreport\src\assets\files\"/>
    </mc:Choice>
  </mc:AlternateContent>
  <xr:revisionPtr revIDLastSave="0" documentId="13_ncr:1_{6D17F561-5AFA-4ED3-9134-10E883465888}" xr6:coauthVersionLast="47" xr6:coauthVersionMax="47" xr10:uidLastSave="{00000000-0000-0000-0000-000000000000}"/>
  <bookViews>
    <workbookView xWindow="345" yWindow="1200" windowWidth="16785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A26" i="1"/>
  <c r="F4" i="1"/>
  <c r="A4" i="1"/>
  <c r="A6" i="1" s="1"/>
  <c r="A24" i="1"/>
  <c r="A17" i="1"/>
  <c r="A18" i="1"/>
  <c r="A19" i="1"/>
  <c r="A20" i="1"/>
  <c r="A21" i="1"/>
  <c r="A14" i="1"/>
  <c r="A22" i="1" s="1"/>
  <c r="C22" i="1"/>
  <c r="F7" i="1" l="1"/>
  <c r="F5" i="1"/>
  <c r="F6" i="1" s="1"/>
</calcChain>
</file>

<file path=xl/sharedStrings.xml><?xml version="1.0" encoding="utf-8"?>
<sst xmlns="http://schemas.openxmlformats.org/spreadsheetml/2006/main" count="19" uniqueCount="16">
  <si>
    <t>T[s]</t>
  </si>
  <si>
    <t>前</t>
  </si>
  <si>
    <t>後</t>
  </si>
  <si>
    <t>平均</t>
  </si>
  <si>
    <t>球の直径[mm]</t>
  </si>
  <si>
    <t>平均</t>
    <phoneticPr fontId="2"/>
  </si>
  <si>
    <t>球の半径r[mm]</t>
    <rPh sb="2" eb="4">
      <t>ハンケイ</t>
    </rPh>
    <phoneticPr fontId="2"/>
  </si>
  <si>
    <t>式10</t>
    <rPh sb="0" eb="1">
      <t>シキ</t>
    </rPh>
    <phoneticPr fontId="2"/>
  </si>
  <si>
    <t>4pi^2/T^2</t>
    <phoneticPr fontId="2"/>
  </si>
  <si>
    <t>l+r</t>
    <phoneticPr fontId="2"/>
  </si>
  <si>
    <t>l[mm]</t>
    <phoneticPr fontId="2"/>
  </si>
  <si>
    <t>2/5*r^2/(l+r)</t>
    <phoneticPr fontId="2"/>
  </si>
  <si>
    <t>式11</t>
    <rPh sb="0" eb="1">
      <t>シキ</t>
    </rPh>
    <phoneticPr fontId="2"/>
  </si>
  <si>
    <t>l[cm]</t>
    <phoneticPr fontId="2"/>
  </si>
  <si>
    <t>r[cm]</t>
    <phoneticPr fontId="2"/>
  </si>
  <si>
    <t>r[m]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</si>
</sst>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00"/>
    <numFmt numFmtId="177" formatCode="0.000000000"/>
  </numFmts>
  <fonts count="3">
    <font>
      <sz val="11"/>
      <name val="游ゴシック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/>
  </sheetViews>
  <sheetFormatPr defaultColWidth="14.375" defaultRowHeight="15" customHeight="1"/>
  <cols>
    <col min="1" max="4" width="8.75" customWidth="1"/>
    <col min="5" max="5" width="12.75" bestFit="1" customWidth="1"/>
    <col min="6" max="6" width="24.125" customWidth="1"/>
    <col min="7" max="7" width="8.75" customWidth="1"/>
    <col min="8" max="8" width="24.25" customWidth="1"/>
    <col min="9" max="11" width="8.75" customWidth="1"/>
  </cols>
  <sheetData>
    <row r="1" spans="1:8" ht="18" customHeight="1">
      <c r="A1" s="1" t="s">
        <v>10</v>
      </c>
      <c r="C1" t="s">
        <v>0</v>
      </c>
      <c r="E1" s="1"/>
      <c r="F1" s="1"/>
      <c r="G1" s="1"/>
    </row>
    <row r="2" spans="1:8" ht="18" customHeight="1">
      <c r="A2">
        <v>851.5</v>
      </c>
      <c r="B2" t="s">
        <v>1</v>
      </c>
      <c r="C2" s="2">
        <v>18.34</v>
      </c>
    </row>
    <row r="3" spans="1:8" ht="18" customHeight="1">
      <c r="A3">
        <v>834.2</v>
      </c>
      <c r="B3" t="s">
        <v>2</v>
      </c>
      <c r="C3" s="2">
        <v>18.68</v>
      </c>
      <c r="E3" s="1" t="s">
        <v>8</v>
      </c>
      <c r="F3">
        <f>4*PI()*PI()/C22/C22</f>
        <v>0.11409426201822384</v>
      </c>
    </row>
    <row r="4" spans="1:8" ht="18" customHeight="1">
      <c r="A4">
        <f>AVERAGE(A2:A3)</f>
        <v>842.85</v>
      </c>
      <c r="B4" t="s">
        <v>3</v>
      </c>
      <c r="C4" s="2">
        <v>18</v>
      </c>
      <c r="E4" s="1" t="s">
        <v>9</v>
      </c>
      <c r="F4">
        <f>A6+A24</f>
        <v>86.197199999999995</v>
      </c>
    </row>
    <row r="5" spans="1:8" ht="18" customHeight="1">
      <c r="A5" s="1" t="s">
        <v>13</v>
      </c>
      <c r="C5" s="2">
        <v>18.690000000000001</v>
      </c>
      <c r="E5" s="1" t="s">
        <v>11</v>
      </c>
      <c r="F5">
        <f>2/5*A24*A24/F4</f>
        <v>1.6968109590566747E-2</v>
      </c>
    </row>
    <row r="6" spans="1:8" ht="18" customHeight="1">
      <c r="A6">
        <f>A4/10</f>
        <v>84.284999999999997</v>
      </c>
      <c r="B6" s="1" t="s">
        <v>5</v>
      </c>
      <c r="C6" s="2">
        <v>18.600000000000001</v>
      </c>
      <c r="E6" s="1" t="s">
        <v>7</v>
      </c>
      <c r="F6" s="4">
        <f>F3*(F4+F5)</f>
        <v>9.8365418859788232</v>
      </c>
    </row>
    <row r="7" spans="1:8" ht="18" customHeight="1">
      <c r="C7" s="2">
        <v>18.649999999999999</v>
      </c>
      <c r="E7" s="1" t="s">
        <v>12</v>
      </c>
      <c r="F7">
        <f>F3*F4</f>
        <v>9.8346059220372428</v>
      </c>
    </row>
    <row r="8" spans="1:8" ht="18" customHeight="1">
      <c r="A8" t="s">
        <v>4</v>
      </c>
      <c r="C8" s="2">
        <v>18.600000000000001</v>
      </c>
    </row>
    <row r="9" spans="1:8" ht="18" customHeight="1">
      <c r="A9" s="2">
        <v>38.35</v>
      </c>
      <c r="C9" s="2">
        <v>18.649999999999999</v>
      </c>
    </row>
    <row r="10" spans="1:8" ht="18" customHeight="1">
      <c r="A10" s="2">
        <v>38.25</v>
      </c>
      <c r="C10" s="2">
        <v>18.71</v>
      </c>
    </row>
    <row r="11" spans="1:8" ht="18" customHeight="1">
      <c r="A11" s="2">
        <v>38.299999999999997</v>
      </c>
      <c r="C11" s="2">
        <v>18.77</v>
      </c>
      <c r="H11" s="3"/>
    </row>
    <row r="12" spans="1:8" ht="18" customHeight="1">
      <c r="A12" s="2">
        <v>38.1</v>
      </c>
      <c r="C12" s="2">
        <v>18.809999999999999</v>
      </c>
    </row>
    <row r="13" spans="1:8" ht="18" customHeight="1">
      <c r="A13" s="2">
        <v>38.22</v>
      </c>
      <c r="C13" s="2">
        <v>18.5</v>
      </c>
    </row>
    <row r="14" spans="1:8" ht="18" customHeight="1">
      <c r="A14" s="2">
        <f>AVERAGE(A9:A13)</f>
        <v>38.244</v>
      </c>
      <c r="B14" s="1" t="s">
        <v>5</v>
      </c>
      <c r="C14" s="2">
        <v>18.62</v>
      </c>
    </row>
    <row r="15" spans="1:8" ht="18" customHeight="1">
      <c r="C15" s="2">
        <v>18.73</v>
      </c>
    </row>
    <row r="16" spans="1:8" ht="18" customHeight="1">
      <c r="A16" s="1" t="s">
        <v>6</v>
      </c>
      <c r="C16" s="2">
        <v>18.66</v>
      </c>
    </row>
    <row r="17" spans="1:4" ht="18" customHeight="1">
      <c r="A17" s="2">
        <f t="shared" ref="A17:A22" si="0">A9/2</f>
        <v>19.175000000000001</v>
      </c>
      <c r="C17" s="2">
        <v>18.77</v>
      </c>
    </row>
    <row r="18" spans="1:4" ht="18" customHeight="1">
      <c r="A18" s="2">
        <f t="shared" si="0"/>
        <v>19.125</v>
      </c>
      <c r="C18" s="2">
        <v>18.690000000000001</v>
      </c>
    </row>
    <row r="19" spans="1:4" ht="18" customHeight="1">
      <c r="A19" s="2">
        <f t="shared" si="0"/>
        <v>19.149999999999999</v>
      </c>
      <c r="C19" s="2">
        <v>18.510000000000002</v>
      </c>
    </row>
    <row r="20" spans="1:4" ht="18" customHeight="1">
      <c r="A20" s="2">
        <f t="shared" si="0"/>
        <v>19.05</v>
      </c>
      <c r="C20" s="2">
        <v>18.37</v>
      </c>
    </row>
    <row r="21" spans="1:4" ht="18" customHeight="1">
      <c r="A21" s="2">
        <f t="shared" si="0"/>
        <v>19.11</v>
      </c>
      <c r="C21" s="2">
        <v>18.68</v>
      </c>
    </row>
    <row r="22" spans="1:4" ht="18" customHeight="1">
      <c r="A22" s="2">
        <f t="shared" si="0"/>
        <v>19.122</v>
      </c>
      <c r="B22" s="1" t="s">
        <v>5</v>
      </c>
      <c r="C22" s="2">
        <f>AVERAGE(C2:C21)</f>
        <v>18.601500000000001</v>
      </c>
      <c r="D22" t="s">
        <v>3</v>
      </c>
    </row>
    <row r="23" spans="1:4" ht="18" customHeight="1">
      <c r="A23" s="1" t="s">
        <v>14</v>
      </c>
    </row>
    <row r="24" spans="1:4" ht="18" customHeight="1">
      <c r="A24">
        <f>A22/10</f>
        <v>1.9121999999999999</v>
      </c>
    </row>
    <row r="25" spans="1:4" ht="18" customHeight="1">
      <c r="A25" s="1" t="s">
        <v>15</v>
      </c>
    </row>
    <row r="26" spans="1:4" ht="18" customHeight="1">
      <c r="A26">
        <f>A24/100</f>
        <v>1.9122E-2</v>
      </c>
    </row>
    <row r="27" spans="1:4" ht="18" customHeight="1"/>
    <row r="28" spans="1:4" ht="18" customHeight="1"/>
    <row r="29" spans="1:4" ht="18" customHeight="1"/>
    <row r="30" spans="1:4" ht="18" customHeight="1"/>
    <row r="31" spans="1:4" ht="18" customHeight="1"/>
    <row r="32" spans="1:4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</sheetData>
  <phoneticPr fontId="2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yuuki yoneyama</dc:creator>
  <cp:lastModifiedBy>井居　和大</cp:lastModifiedBy>
  <dcterms:created xsi:type="dcterms:W3CDTF">2024-12-06T06:05:49Z</dcterms:created>
  <dcterms:modified xsi:type="dcterms:W3CDTF">2025-08-21T16:23:29Z</dcterms:modified>
</cp:coreProperties>
</file>